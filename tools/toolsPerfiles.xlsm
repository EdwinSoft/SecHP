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win\Documents\GitHub\SecHP\tools\"/>
    </mc:Choice>
  </mc:AlternateContent>
  <xr:revisionPtr revIDLastSave="0" documentId="13_ncr:1_{5F4355DB-FB41-4D10-BC04-0E2821165053}" xr6:coauthVersionLast="45" xr6:coauthVersionMax="45" xr10:uidLastSave="{00000000-0000-0000-0000-000000000000}"/>
  <bookViews>
    <workbookView xWindow="-120" yWindow="-120" windowWidth="29040" windowHeight="15840" activeTab="5" xr2:uid="{7D405DB5-EDDA-4EF1-B0F8-E82F00AC55AB}"/>
  </bookViews>
  <sheets>
    <sheet name="W" sheetId="1" r:id="rId1"/>
    <sheet name="S" sheetId="3" r:id="rId2"/>
    <sheet name="C" sheetId="4" r:id="rId3"/>
    <sheet name="L igual" sheetId="5" r:id="rId4"/>
    <sheet name="L desigual" sheetId="6" r:id="rId5"/>
    <sheet name="gráficas" sheetId="2" r:id="rId6"/>
    <sheet name="datosGráfica" sheetId="7" r:id="rId7"/>
  </sheets>
  <functionGroups builtInGroupCount="19"/>
  <definedNames>
    <definedName name="bf">gráficas!$I$2</definedName>
    <definedName name="d">gráficas!$H$2</definedName>
    <definedName name="figXc">gráficas!$L$2</definedName>
    <definedName name="figYc">gráficas!$M$2</definedName>
    <definedName name="tf">gráficas!$J$2</definedName>
    <definedName name="tw">gráficas!$K$2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6" i="2" l="1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O46" i="2"/>
  <c r="O45" i="2"/>
  <c r="O44" i="2"/>
  <c r="O43" i="2"/>
  <c r="O42" i="2"/>
  <c r="O41" i="2"/>
  <c r="O40" i="2"/>
  <c r="P46" i="2"/>
  <c r="P45" i="2"/>
  <c r="P44" i="2"/>
  <c r="P43" i="2"/>
  <c r="P42" i="2"/>
  <c r="P41" i="2"/>
  <c r="P40" i="2"/>
  <c r="P39" i="2"/>
  <c r="O39" i="2"/>
  <c r="P38" i="2"/>
  <c r="O38" i="2"/>
  <c r="P34" i="2"/>
  <c r="O34" i="2"/>
  <c r="O33" i="2"/>
  <c r="P33" i="2"/>
  <c r="O32" i="2"/>
  <c r="P32" i="2"/>
  <c r="O31" i="2"/>
  <c r="P31" i="2"/>
  <c r="O30" i="2"/>
  <c r="P30" i="2"/>
  <c r="O29" i="2"/>
  <c r="P29" i="2"/>
  <c r="O28" i="2"/>
  <c r="P28" i="2"/>
  <c r="P27" i="2"/>
  <c r="O27" i="2"/>
  <c r="O26" i="2"/>
  <c r="P26" i="2"/>
  <c r="O25" i="2"/>
  <c r="P25" i="2"/>
  <c r="O24" i="2"/>
  <c r="P24" i="2"/>
  <c r="O23" i="2"/>
  <c r="P23" i="2"/>
  <c r="O22" i="2"/>
  <c r="P22" i="2"/>
  <c r="O21" i="2"/>
  <c r="P21" i="2"/>
  <c r="O20" i="2"/>
  <c r="P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9" i="2"/>
  <c r="O9" i="2"/>
  <c r="P8" i="2"/>
  <c r="O8" i="2"/>
  <c r="P7" i="2"/>
  <c r="O7" i="2"/>
  <c r="P10" i="2"/>
  <c r="J25" i="2"/>
  <c r="J24" i="2"/>
  <c r="J23" i="2"/>
  <c r="I25" i="2"/>
  <c r="I24" i="2"/>
  <c r="I23" i="2"/>
  <c r="J20" i="2"/>
  <c r="I20" i="2"/>
  <c r="J19" i="2"/>
  <c r="I19" i="2"/>
  <c r="J18" i="2"/>
  <c r="I18" i="2"/>
  <c r="P6" i="2"/>
  <c r="P5" i="2"/>
  <c r="P4" i="2"/>
  <c r="O6" i="2"/>
  <c r="O5" i="2"/>
  <c r="O4" i="2"/>
  <c r="J11" i="2"/>
  <c r="J14" i="2"/>
  <c r="J15" i="2"/>
  <c r="I14" i="2"/>
  <c r="I13" i="2"/>
  <c r="J13" i="2" s="1"/>
  <c r="I12" i="2"/>
  <c r="J12" i="2" s="1"/>
  <c r="I11" i="2"/>
  <c r="I10" i="2"/>
  <c r="J10" i="2" s="1"/>
  <c r="O10" i="2"/>
  <c r="O3" i="2"/>
  <c r="P3" i="2"/>
  <c r="O2" i="2"/>
  <c r="P2" i="2"/>
  <c r="N4" i="5" a="1"/>
  <c r="T4" i="6" a="1"/>
  <c r="D39" i="7" a="1"/>
  <c r="D2" i="7" a="1"/>
  <c r="N4" i="5" l="1"/>
  <c r="T4" i="6"/>
  <c r="D39" i="7"/>
  <c r="D2" i="7"/>
  <c r="E32" i="6"/>
  <c r="E29" i="6"/>
  <c r="E27" i="6"/>
  <c r="E23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2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" i="6"/>
  <c r="D50" i="5"/>
  <c r="D61" i="5"/>
  <c r="D59" i="5"/>
  <c r="D58" i="5"/>
  <c r="D56" i="5"/>
  <c r="D53" i="5"/>
  <c r="D47" i="5"/>
  <c r="D45" i="5"/>
  <c r="D43" i="5"/>
  <c r="D41" i="5"/>
  <c r="D39" i="5"/>
  <c r="D37" i="5"/>
  <c r="D55" i="5"/>
  <c r="D33" i="5"/>
  <c r="L58" i="5"/>
  <c r="L59" i="5"/>
  <c r="L60" i="5"/>
  <c r="L61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3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2" i="5"/>
  <c r="P4" i="3" a="1"/>
  <c r="P3" i="4" a="1"/>
  <c r="P3" i="3" a="1"/>
  <c r="P3" i="1" a="1"/>
  <c r="P4" i="4" a="1"/>
  <c r="N3" i="5" a="1"/>
  <c r="P4" i="1" a="1"/>
  <c r="T3" i="6" a="1"/>
  <c r="T3" i="6" l="1"/>
  <c r="N3" i="5"/>
  <c r="P4" i="4"/>
  <c r="P3" i="4"/>
  <c r="P4" i="3"/>
  <c r="P3" i="3"/>
  <c r="P4" i="1"/>
  <c r="P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<sst xmlns="http://schemas.openxmlformats.org/spreadsheetml/2006/main" count="902" uniqueCount="424">
  <si>
    <t>Unidades</t>
  </si>
  <si>
    <t>mm</t>
  </si>
  <si>
    <t>Area</t>
  </si>
  <si>
    <t>Ix*10^6</t>
  </si>
  <si>
    <t>Sx</t>
  </si>
  <si>
    <t>rx</t>
  </si>
  <si>
    <t>y</t>
  </si>
  <si>
    <t>Iy*10^6</t>
  </si>
  <si>
    <t>Sy</t>
  </si>
  <si>
    <t>ry</t>
  </si>
  <si>
    <t>x</t>
  </si>
  <si>
    <t>Designación</t>
  </si>
  <si>
    <t>d</t>
  </si>
  <si>
    <t>bf</t>
  </si>
  <si>
    <t>tf</t>
  </si>
  <si>
    <t>tw</t>
  </si>
  <si>
    <t>W920X449</t>
  </si>
  <si>
    <t>W920X201</t>
  </si>
  <si>
    <t>W840X299</t>
  </si>
  <si>
    <t>W840X176</t>
  </si>
  <si>
    <t>W760X257</t>
  </si>
  <si>
    <t>W760X147</t>
  </si>
  <si>
    <t>W690X217</t>
  </si>
  <si>
    <t>W690X125</t>
  </si>
  <si>
    <t>W610X155</t>
  </si>
  <si>
    <t>W610X101</t>
  </si>
  <si>
    <t>W530X150</t>
  </si>
  <si>
    <t>W530X92</t>
  </si>
  <si>
    <t>W530X66</t>
  </si>
  <si>
    <t>W460X158</t>
  </si>
  <si>
    <t>W460X113</t>
  </si>
  <si>
    <t>W460X74</t>
  </si>
  <si>
    <t>W460X52</t>
  </si>
  <si>
    <t>W410X114</t>
  </si>
  <si>
    <t>W410X85</t>
  </si>
  <si>
    <t>W410X60</t>
  </si>
  <si>
    <t>W410X46.1</t>
  </si>
  <si>
    <t>W410X38.8</t>
  </si>
  <si>
    <t>W360X551</t>
  </si>
  <si>
    <t>W360X216</t>
  </si>
  <si>
    <t>W360X122</t>
  </si>
  <si>
    <t>W360X101</t>
  </si>
  <si>
    <t>W360X79</t>
  </si>
  <si>
    <t>W360X64</t>
  </si>
  <si>
    <t>W360X57.8</t>
  </si>
  <si>
    <t>W360X44</t>
  </si>
  <si>
    <t>W360X39</t>
  </si>
  <si>
    <t>W360X32.9</t>
  </si>
  <si>
    <t>W310X143</t>
  </si>
  <si>
    <t>W310X107</t>
  </si>
  <si>
    <t>W310X74</t>
  </si>
  <si>
    <t>W310X60</t>
  </si>
  <si>
    <t>W310X52</t>
  </si>
  <si>
    <t>W310X44.5</t>
  </si>
  <si>
    <t>W310X38.7</t>
  </si>
  <si>
    <t>W310X32.7</t>
  </si>
  <si>
    <t>W310X23.8</t>
  </si>
  <si>
    <t>W250X167</t>
  </si>
  <si>
    <t>W250X101</t>
  </si>
  <si>
    <t>W250X80</t>
  </si>
  <si>
    <t>W250X67</t>
  </si>
  <si>
    <t>W250X58</t>
  </si>
  <si>
    <t>W250X49.1</t>
  </si>
  <si>
    <t>W250X44.8</t>
  </si>
  <si>
    <t>W250X32.7</t>
  </si>
  <si>
    <t>W250X28.4</t>
  </si>
  <si>
    <t>W250X22.3</t>
  </si>
  <si>
    <t>W200X86</t>
  </si>
  <si>
    <t>W200X71</t>
  </si>
  <si>
    <t>W200X59</t>
  </si>
  <si>
    <t>W200X52</t>
  </si>
  <si>
    <t>W200X46.1</t>
  </si>
  <si>
    <t>W200X41.7</t>
  </si>
  <si>
    <t>W200X35.9</t>
  </si>
  <si>
    <t>W200X31.3</t>
  </si>
  <si>
    <t>W200X26.6</t>
  </si>
  <si>
    <t>W200X22.5</t>
  </si>
  <si>
    <t>W200X19.3</t>
  </si>
  <si>
    <t>W150X37.1</t>
  </si>
  <si>
    <t>W150X29.8</t>
  </si>
  <si>
    <t>W150X24</t>
  </si>
  <si>
    <t>W150X18</t>
  </si>
  <si>
    <t>W150X13.5</t>
  </si>
  <si>
    <t>W130X28.1</t>
  </si>
  <si>
    <t>W130X23.8</t>
  </si>
  <si>
    <t>W100X19.3</t>
  </si>
  <si>
    <t>in</t>
  </si>
  <si>
    <t>W36X302</t>
  </si>
  <si>
    <t>W36X135</t>
  </si>
  <si>
    <t>W33X201</t>
  </si>
  <si>
    <t>W33X118</t>
  </si>
  <si>
    <t>W30X173</t>
  </si>
  <si>
    <t>W30X99</t>
  </si>
  <si>
    <t>W27X146</t>
  </si>
  <si>
    <t>W27X84</t>
  </si>
  <si>
    <t>W24X104</t>
  </si>
  <si>
    <t>W24X68</t>
  </si>
  <si>
    <t>W21X101</t>
  </si>
  <si>
    <t>W21X62</t>
  </si>
  <si>
    <t>W21X44</t>
  </si>
  <si>
    <t>W18X106</t>
  </si>
  <si>
    <t>W18X76</t>
  </si>
  <si>
    <t>W18X50</t>
  </si>
  <si>
    <t>W18X35</t>
  </si>
  <si>
    <t>W16X77</t>
  </si>
  <si>
    <t>W16X57</t>
  </si>
  <si>
    <t>W16X40</t>
  </si>
  <si>
    <t>W16X31</t>
  </si>
  <si>
    <t>W16X26</t>
  </si>
  <si>
    <t>W14X370</t>
  </si>
  <si>
    <t>W14X145</t>
  </si>
  <si>
    <t>W14X82</t>
  </si>
  <si>
    <t>W14X68</t>
  </si>
  <si>
    <t>W14X53</t>
  </si>
  <si>
    <t>W14X43</t>
  </si>
  <si>
    <t>W14X38</t>
  </si>
  <si>
    <t>W14X30</t>
  </si>
  <si>
    <t>W14X26</t>
  </si>
  <si>
    <t>W14X22</t>
  </si>
  <si>
    <t>W12X96</t>
  </si>
  <si>
    <t>W12X72</t>
  </si>
  <si>
    <t>W12X50</t>
  </si>
  <si>
    <t>W12X40</t>
  </si>
  <si>
    <t>W12X35</t>
  </si>
  <si>
    <t>W12X30</t>
  </si>
  <si>
    <t>W12X26</t>
  </si>
  <si>
    <t>W12X22</t>
  </si>
  <si>
    <t>W12X16</t>
  </si>
  <si>
    <t>W10X112</t>
  </si>
  <si>
    <t>W10X68</t>
  </si>
  <si>
    <t>W10X54</t>
  </si>
  <si>
    <t>W10X45</t>
  </si>
  <si>
    <t>W10X39</t>
  </si>
  <si>
    <t>W10X33</t>
  </si>
  <si>
    <t>W10X30</t>
  </si>
  <si>
    <t>W10X22</t>
  </si>
  <si>
    <t>W10X19</t>
  </si>
  <si>
    <t>W10X15</t>
  </si>
  <si>
    <t>W8X58</t>
  </si>
  <si>
    <t>W8X48</t>
  </si>
  <si>
    <t>W8X40</t>
  </si>
  <si>
    <t>W8X35</t>
  </si>
  <si>
    <t>W8X31</t>
  </si>
  <si>
    <t>W8X28</t>
  </si>
  <si>
    <t>W8X24</t>
  </si>
  <si>
    <t>W8X21</t>
  </si>
  <si>
    <t>W8X18</t>
  </si>
  <si>
    <t>W8X15</t>
  </si>
  <si>
    <t>W8X13</t>
  </si>
  <si>
    <t>W6X25</t>
  </si>
  <si>
    <t>W6X20</t>
  </si>
  <si>
    <t>W6X16</t>
  </si>
  <si>
    <t>W6X12</t>
  </si>
  <si>
    <t>W6X9</t>
  </si>
  <si>
    <t>W5X16</t>
  </si>
  <si>
    <t>W5X19</t>
  </si>
  <si>
    <t>W3X13</t>
  </si>
  <si>
    <t>S610X180</t>
  </si>
  <si>
    <t>S610X158</t>
  </si>
  <si>
    <t>S610X149</t>
  </si>
  <si>
    <t>S610X134</t>
  </si>
  <si>
    <t>S610X119</t>
  </si>
  <si>
    <t>S510X143</t>
  </si>
  <si>
    <t>S510X128</t>
  </si>
  <si>
    <t>S510X112</t>
  </si>
  <si>
    <t>S510X98.2</t>
  </si>
  <si>
    <t>S460X104</t>
  </si>
  <si>
    <t>S460X81.4</t>
  </si>
  <si>
    <t>S380X74</t>
  </si>
  <si>
    <t>S380X64</t>
  </si>
  <si>
    <t>S310X74</t>
  </si>
  <si>
    <t>S310X60.7</t>
  </si>
  <si>
    <t>S310X52</t>
  </si>
  <si>
    <t>S310X47.3</t>
  </si>
  <si>
    <t>S250X52</t>
  </si>
  <si>
    <t>S250X37.8</t>
  </si>
  <si>
    <t>S200X34</t>
  </si>
  <si>
    <t>S200X27.4</t>
  </si>
  <si>
    <t>S150X25.7</t>
  </si>
  <si>
    <t>S150X18.6</t>
  </si>
  <si>
    <t>S130X15</t>
  </si>
  <si>
    <t>S100X14.1</t>
  </si>
  <si>
    <t>S100X11.5</t>
  </si>
  <si>
    <t>S75X11.2</t>
  </si>
  <si>
    <t>S75X8.5</t>
  </si>
  <si>
    <t>S24X121</t>
  </si>
  <si>
    <t>S24X106</t>
  </si>
  <si>
    <t>S24X100</t>
  </si>
  <si>
    <t>S24X90</t>
  </si>
  <si>
    <t>S24X80</t>
  </si>
  <si>
    <t>S20X96</t>
  </si>
  <si>
    <t>S20X86</t>
  </si>
  <si>
    <t>S20X75</t>
  </si>
  <si>
    <t>S20X66</t>
  </si>
  <si>
    <t>S18X70</t>
  </si>
  <si>
    <t>S18X54.7</t>
  </si>
  <si>
    <t>S15X50</t>
  </si>
  <si>
    <t>S15X42.9</t>
  </si>
  <si>
    <t>S12X50</t>
  </si>
  <si>
    <t>S12X40.8</t>
  </si>
  <si>
    <t>S12X35</t>
  </si>
  <si>
    <t>S12X31.8</t>
  </si>
  <si>
    <t>S10X35</t>
  </si>
  <si>
    <t>S10X25.4</t>
  </si>
  <si>
    <t>S8X23</t>
  </si>
  <si>
    <t>S8X18.4</t>
  </si>
  <si>
    <t>S6X17.2</t>
  </si>
  <si>
    <t>S6X12.5</t>
  </si>
  <si>
    <t>S5X10</t>
  </si>
  <si>
    <t>S4X9.5</t>
  </si>
  <si>
    <t>S4X7.7</t>
  </si>
  <si>
    <t>S3X7.5</t>
  </si>
  <si>
    <t>S3X5.7</t>
  </si>
  <si>
    <t>xc</t>
  </si>
  <si>
    <t>C380X74</t>
  </si>
  <si>
    <t>C380X60</t>
  </si>
  <si>
    <t>C380X50.4</t>
  </si>
  <si>
    <t>C310X45</t>
  </si>
  <si>
    <t>C310X37</t>
  </si>
  <si>
    <t>C310X30.8</t>
  </si>
  <si>
    <t>C250X45</t>
  </si>
  <si>
    <t>C250X37</t>
  </si>
  <si>
    <t>C250X30</t>
  </si>
  <si>
    <t>C250X22.8</t>
  </si>
  <si>
    <t>C230X30</t>
  </si>
  <si>
    <t>C230X22</t>
  </si>
  <si>
    <t>C230X19.9</t>
  </si>
  <si>
    <t>C200X27.9</t>
  </si>
  <si>
    <t>C200X20.5</t>
  </si>
  <si>
    <t>C200X17.1</t>
  </si>
  <si>
    <t>C180X18.2</t>
  </si>
  <si>
    <t>C180X14.6</t>
  </si>
  <si>
    <t>C150X19.3</t>
  </si>
  <si>
    <t>C150X15.6</t>
  </si>
  <si>
    <t>C150X12.2</t>
  </si>
  <si>
    <t>C130X13</t>
  </si>
  <si>
    <t>C130X10.4</t>
  </si>
  <si>
    <t>C100X10.8</t>
  </si>
  <si>
    <t>C100X8</t>
  </si>
  <si>
    <t>C75X8.9</t>
  </si>
  <si>
    <t>C75X7.4</t>
  </si>
  <si>
    <t>C75X6.1</t>
  </si>
  <si>
    <t>C15X50</t>
  </si>
  <si>
    <t>C15X40</t>
  </si>
  <si>
    <t>C15X33.9</t>
  </si>
  <si>
    <t>C12X30</t>
  </si>
  <si>
    <t>C12X25</t>
  </si>
  <si>
    <t>C12X20.7</t>
  </si>
  <si>
    <t>C10X30</t>
  </si>
  <si>
    <t>C10X25</t>
  </si>
  <si>
    <t>C10X20</t>
  </si>
  <si>
    <t>C10X15.3</t>
  </si>
  <si>
    <t>C9X20</t>
  </si>
  <si>
    <t>C9X15</t>
  </si>
  <si>
    <t>C9X13.4</t>
  </si>
  <si>
    <t>C8X18.7</t>
  </si>
  <si>
    <t>C8X13.7</t>
  </si>
  <si>
    <t>C8X11.5</t>
  </si>
  <si>
    <t>C7X12.2</t>
  </si>
  <si>
    <t>C7X9.8</t>
  </si>
  <si>
    <t>C6X13</t>
  </si>
  <si>
    <t>C6X10.5</t>
  </si>
  <si>
    <t>C6X8.2</t>
  </si>
  <si>
    <t>C5X9</t>
  </si>
  <si>
    <t>C5X6.7</t>
  </si>
  <si>
    <t>C4X7.2</t>
  </si>
  <si>
    <t>C4X5.4</t>
  </si>
  <si>
    <t>C3X6</t>
  </si>
  <si>
    <t>C3X5</t>
  </si>
  <si>
    <t>C3X4.1</t>
  </si>
  <si>
    <t>Masa</t>
  </si>
  <si>
    <t>S</t>
  </si>
  <si>
    <t>I*10^6</t>
  </si>
  <si>
    <t>r</t>
  </si>
  <si>
    <t>rz</t>
  </si>
  <si>
    <t>Ixyc</t>
  </si>
  <si>
    <t>L203X203X25.4</t>
  </si>
  <si>
    <t>L203X203X19</t>
  </si>
  <si>
    <t>L203X203X12.7</t>
  </si>
  <si>
    <t>L152X152X25.4</t>
  </si>
  <si>
    <t>L152X152X19</t>
  </si>
  <si>
    <t>L152X152X15.9</t>
  </si>
  <si>
    <t>L152X152X12.7</t>
  </si>
  <si>
    <t>L152X152X9.5</t>
  </si>
  <si>
    <t>L127X127X19</t>
  </si>
  <si>
    <t>L127X127X15.9</t>
  </si>
  <si>
    <t>L127X127X12.7</t>
  </si>
  <si>
    <t>L127X127X9.5</t>
  </si>
  <si>
    <t>L102X102X19</t>
  </si>
  <si>
    <t>L102X102X15.9</t>
  </si>
  <si>
    <t>L102X102X12.7</t>
  </si>
  <si>
    <t>L102X102X9.5</t>
  </si>
  <si>
    <t>L102X102X6.4</t>
  </si>
  <si>
    <t>L89X89X12.7</t>
  </si>
  <si>
    <t>L89X89X9.5</t>
  </si>
  <si>
    <t>L89X89X6.4</t>
  </si>
  <si>
    <t>L76X76X12.7</t>
  </si>
  <si>
    <t>L76X76X9.5</t>
  </si>
  <si>
    <t>L76X76X6.4</t>
  </si>
  <si>
    <t>L64X64X12.7</t>
  </si>
  <si>
    <t>L64X64X9.5</t>
  </si>
  <si>
    <t>L64X64X6.4</t>
  </si>
  <si>
    <t>L64X64X4.8</t>
  </si>
  <si>
    <t>L51X51X9.5</t>
  </si>
  <si>
    <t>L51X51X6.4</t>
  </si>
  <si>
    <t>L51X51X3.2</t>
  </si>
  <si>
    <t>L8X8X1</t>
  </si>
  <si>
    <t>L8X8X3⁄4</t>
  </si>
  <si>
    <t>L8X8X1⁄2</t>
  </si>
  <si>
    <t>L6X6X1</t>
  </si>
  <si>
    <t>L6X6X3⁄4</t>
  </si>
  <si>
    <t>L6X6X5⁄8</t>
  </si>
  <si>
    <t>L6X6X1⁄2</t>
  </si>
  <si>
    <t>L6X6X3⁄8</t>
  </si>
  <si>
    <t>L5X5X3⁄4</t>
  </si>
  <si>
    <t>L5X5X5⁄8</t>
  </si>
  <si>
    <t>L5X5X1⁄2</t>
  </si>
  <si>
    <t>L5X5X3⁄8</t>
  </si>
  <si>
    <t>L4X4X3⁄4</t>
  </si>
  <si>
    <t>L4X4X5⁄8</t>
  </si>
  <si>
    <t>L4X4X1⁄2</t>
  </si>
  <si>
    <t>L4X4X3⁄8</t>
  </si>
  <si>
    <t>L4X4X1⁄4</t>
  </si>
  <si>
    <t>L3½X3½X1⁄2</t>
  </si>
  <si>
    <t>L3½X3½X3⁄8</t>
  </si>
  <si>
    <t>L3½X3½X1⁄4</t>
  </si>
  <si>
    <t>L3X3X1⁄2</t>
  </si>
  <si>
    <t>L3X3X3⁄8</t>
  </si>
  <si>
    <t>L3X3X1⁄4</t>
  </si>
  <si>
    <t>L2½X2½X1⁄2</t>
  </si>
  <si>
    <t>L2½X2½X3⁄8</t>
  </si>
  <si>
    <t>L2½X2½X1⁄4</t>
  </si>
  <si>
    <t>L2½X2½X3⁄16</t>
  </si>
  <si>
    <t>L2X2X3⁄8</t>
  </si>
  <si>
    <t>L2X2X1⁄4</t>
  </si>
  <si>
    <t>L2X2X1⁄8</t>
  </si>
  <si>
    <t>yc</t>
  </si>
  <si>
    <t>tan(alfa)</t>
  </si>
  <si>
    <t>L203X152X25.4</t>
  </si>
  <si>
    <t>L203X152X19</t>
  </si>
  <si>
    <t>L203X152X12.7</t>
  </si>
  <si>
    <t>L152X102X19</t>
  </si>
  <si>
    <t>L152X102X12.7</t>
  </si>
  <si>
    <t>L152X102X9.5</t>
  </si>
  <si>
    <t>L127X76X12.7</t>
  </si>
  <si>
    <t>L127X76X9.5</t>
  </si>
  <si>
    <t>L127X76X6.4</t>
  </si>
  <si>
    <t>L102X76X12.7</t>
  </si>
  <si>
    <t>L102X76X9.5</t>
  </si>
  <si>
    <t>L102X76X6.4</t>
  </si>
  <si>
    <t>L89X64X12.7</t>
  </si>
  <si>
    <t>L89X64X9.5</t>
  </si>
  <si>
    <t>L89X64X6.4</t>
  </si>
  <si>
    <t>L76X51X12.7</t>
  </si>
  <si>
    <t>L76X51X9.5</t>
  </si>
  <si>
    <t>L76X51X6.4</t>
  </si>
  <si>
    <t>L64X51X9.5</t>
  </si>
  <si>
    <t>L64X51X6.4</t>
  </si>
  <si>
    <t>L8X6X1</t>
  </si>
  <si>
    <t>L8X6X3⁄4</t>
  </si>
  <si>
    <t>L8X6X1⁄2</t>
  </si>
  <si>
    <t>L6X4X3⁄4</t>
  </si>
  <si>
    <t>L6X4X1⁄2</t>
  </si>
  <si>
    <t>L6X4X3⁄8</t>
  </si>
  <si>
    <t>L5X3X1⁄2</t>
  </si>
  <si>
    <t>L5X3X3⁄8</t>
  </si>
  <si>
    <t>L5X3X1⁄4</t>
  </si>
  <si>
    <t>L4X3X1⁄2</t>
  </si>
  <si>
    <t>L4X3X3⁄8</t>
  </si>
  <si>
    <t>L4X3X1⁄4</t>
  </si>
  <si>
    <t>L3½X2½X1⁄2</t>
  </si>
  <si>
    <t>L3½X2½X3⁄8</t>
  </si>
  <si>
    <t>L3½X2½X1⁄4</t>
  </si>
  <si>
    <t>L3X2X1⁄2</t>
  </si>
  <si>
    <t>L3X2X3⁄8</t>
  </si>
  <si>
    <t>L3X2X1⁄4</t>
  </si>
  <si>
    <t>L2½X2X3⁄8</t>
  </si>
  <si>
    <t>L2½X2X1⁄4</t>
  </si>
  <si>
    <t>X</t>
  </si>
  <si>
    <t>-0.5*bf</t>
  </si>
  <si>
    <t>-d/2</t>
  </si>
  <si>
    <t>0.5*bf</t>
  </si>
  <si>
    <t>0.5*bf-0.2*tf</t>
  </si>
  <si>
    <t>-0.5*d+0.6*tf</t>
  </si>
  <si>
    <t>0.5*bf-0.4*tf</t>
  </si>
  <si>
    <t>-0.5*d+0.8*tf</t>
  </si>
  <si>
    <t>0.5*bf-0.6*tf</t>
  </si>
  <si>
    <t>-0.5*d+0.917*tf</t>
  </si>
  <si>
    <t>0.5*tw+0.6*tf</t>
  </si>
  <si>
    <t>-0.5*d+(1.583)*tf</t>
  </si>
  <si>
    <t>0.5*tw+0.4*tf</t>
  </si>
  <si>
    <t>-0.5*d+(1.7)*tf</t>
  </si>
  <si>
    <t>0.5*tw+0.2*tf</t>
  </si>
  <si>
    <t>-0.5*d+(1.9)*tf</t>
  </si>
  <si>
    <t>0.5*tw</t>
  </si>
  <si>
    <t>-0.5*d+2.5*tf</t>
  </si>
  <si>
    <t>0.5*d-2.5*tf</t>
  </si>
  <si>
    <t>0.5*d-(1.9)*tf</t>
  </si>
  <si>
    <t>0.5*d-(1.7)*tf</t>
  </si>
  <si>
    <t>0.5*d-(1.583)*tf</t>
  </si>
  <si>
    <t>0.5*d-0.917*tf</t>
  </si>
  <si>
    <t>0.5*d-0.8*tf</t>
  </si>
  <si>
    <t>0.5*d-0.6*tf</t>
  </si>
  <si>
    <t>d/2</t>
  </si>
  <si>
    <t>-0.5*bf+0.2*tf</t>
  </si>
  <si>
    <t>-0.5*bf+0.4*tf</t>
  </si>
  <si>
    <t>-0.5*bf+0.6*tf</t>
  </si>
  <si>
    <t>-0.5*tw-0.6*tf</t>
  </si>
  <si>
    <t>-0.5*tw-0.4*tf</t>
  </si>
  <si>
    <t>-0.5*tw-0.2*tf</t>
  </si>
  <si>
    <t>-0.5*tw</t>
  </si>
  <si>
    <t>Perfil S</t>
  </si>
  <si>
    <t>Perfil C</t>
  </si>
  <si>
    <t>-figXc</t>
  </si>
  <si>
    <t>-0.5*d</t>
  </si>
  <si>
    <t>-figXc+bf</t>
  </si>
  <si>
    <t>-figXc+bf-0.2*tf</t>
  </si>
  <si>
    <t>-figXc+bf-0.4*tf</t>
  </si>
  <si>
    <t>-figXc+bf-0.6*tf</t>
  </si>
  <si>
    <t>-figXc+tw+0.6*tf</t>
  </si>
  <si>
    <t>-figXc+tw+0.4*tf</t>
  </si>
  <si>
    <t>-figXc+tw+0.2*tf</t>
  </si>
  <si>
    <t>-figXc+tw</t>
  </si>
  <si>
    <t>0.5*d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</si>
</sst>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gráficas!$P$1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gráficas!$O$2:$O$34</c:f>
              <c:numCache>
                <c:formatCode>General</c:formatCode>
                <c:ptCount val="33"/>
                <c:pt idx="0">
                  <c:v>-0.70499999999999996</c:v>
                </c:pt>
                <c:pt idx="1">
                  <c:v>0.70499999999999996</c:v>
                </c:pt>
                <c:pt idx="2">
                  <c:v>0.65039999999999998</c:v>
                </c:pt>
                <c:pt idx="3">
                  <c:v>0.59579999999999989</c:v>
                </c:pt>
                <c:pt idx="4">
                  <c:v>0.5411999999999999</c:v>
                </c:pt>
                <c:pt idx="5">
                  <c:v>0.24880000000000002</c:v>
                </c:pt>
                <c:pt idx="6">
                  <c:v>0.19420000000000004</c:v>
                </c:pt>
                <c:pt idx="7">
                  <c:v>0.1396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0.1396</c:v>
                </c:pt>
                <c:pt idx="11">
                  <c:v>0.19420000000000004</c:v>
                </c:pt>
                <c:pt idx="12">
                  <c:v>0.24880000000000002</c:v>
                </c:pt>
                <c:pt idx="13">
                  <c:v>0.5411999999999999</c:v>
                </c:pt>
                <c:pt idx="14">
                  <c:v>0.59579999999999989</c:v>
                </c:pt>
                <c:pt idx="15">
                  <c:v>0.65039999999999998</c:v>
                </c:pt>
                <c:pt idx="16">
                  <c:v>0.70499999999999996</c:v>
                </c:pt>
                <c:pt idx="17">
                  <c:v>-0.70499999999999996</c:v>
                </c:pt>
                <c:pt idx="18">
                  <c:v>-0.65039999999999998</c:v>
                </c:pt>
                <c:pt idx="19">
                  <c:v>-0.59579999999999989</c:v>
                </c:pt>
                <c:pt idx="20">
                  <c:v>-0.5411999999999999</c:v>
                </c:pt>
                <c:pt idx="21">
                  <c:v>-0.24880000000000002</c:v>
                </c:pt>
                <c:pt idx="22">
                  <c:v>-0.19420000000000004</c:v>
                </c:pt>
                <c:pt idx="23">
                  <c:v>-0.1396</c:v>
                </c:pt>
                <c:pt idx="24">
                  <c:v>-8.5000000000000006E-2</c:v>
                </c:pt>
                <c:pt idx="25">
                  <c:v>-8.5000000000000006E-2</c:v>
                </c:pt>
                <c:pt idx="26">
                  <c:v>-0.1396</c:v>
                </c:pt>
                <c:pt idx="27">
                  <c:v>-0.19420000000000004</c:v>
                </c:pt>
                <c:pt idx="28">
                  <c:v>-0.24880000000000002</c:v>
                </c:pt>
                <c:pt idx="29">
                  <c:v>-0.5411999999999999</c:v>
                </c:pt>
                <c:pt idx="30">
                  <c:v>-0.59579999999999989</c:v>
                </c:pt>
                <c:pt idx="31">
                  <c:v>-0.65039999999999998</c:v>
                </c:pt>
                <c:pt idx="32">
                  <c:v>-0.70499999999999996</c:v>
                </c:pt>
              </c:numCache>
            </c:numRef>
          </c:xVal>
          <c:yVal>
            <c:numRef>
              <c:f>gráficas!$P$2:$P$34</c:f>
              <c:numCache>
                <c:formatCode>General</c:formatCode>
                <c:ptCount val="33"/>
                <c:pt idx="0">
                  <c:v>-1.5</c:v>
                </c:pt>
                <c:pt idx="1">
                  <c:v>-1.5</c:v>
                </c:pt>
                <c:pt idx="2">
                  <c:v>-1.3362000000000001</c:v>
                </c:pt>
                <c:pt idx="3">
                  <c:v>-1.2816000000000001</c:v>
                </c:pt>
                <c:pt idx="4">
                  <c:v>-1.2496589999999999</c:v>
                </c:pt>
                <c:pt idx="5">
                  <c:v>-1.067841</c:v>
                </c:pt>
                <c:pt idx="6">
                  <c:v>-1.0359</c:v>
                </c:pt>
                <c:pt idx="7">
                  <c:v>-0.98129999999999995</c:v>
                </c:pt>
                <c:pt idx="8">
                  <c:v>-0.81749999999999989</c:v>
                </c:pt>
                <c:pt idx="9">
                  <c:v>0.81749999999999989</c:v>
                </c:pt>
                <c:pt idx="10">
                  <c:v>0.98129999999999995</c:v>
                </c:pt>
                <c:pt idx="11">
                  <c:v>1.0359</c:v>
                </c:pt>
                <c:pt idx="12">
                  <c:v>1.067841</c:v>
                </c:pt>
                <c:pt idx="13">
                  <c:v>1.2496589999999999</c:v>
                </c:pt>
                <c:pt idx="14">
                  <c:v>1.2816000000000001</c:v>
                </c:pt>
                <c:pt idx="15">
                  <c:v>1.3362000000000001</c:v>
                </c:pt>
                <c:pt idx="16">
                  <c:v>1.5</c:v>
                </c:pt>
                <c:pt idx="17">
                  <c:v>1.5</c:v>
                </c:pt>
                <c:pt idx="18">
                  <c:v>1.3362000000000001</c:v>
                </c:pt>
                <c:pt idx="19">
                  <c:v>1.2816000000000001</c:v>
                </c:pt>
                <c:pt idx="20">
                  <c:v>1.2496589999999999</c:v>
                </c:pt>
                <c:pt idx="21">
                  <c:v>1.067841</c:v>
                </c:pt>
                <c:pt idx="22">
                  <c:v>1.0359</c:v>
                </c:pt>
                <c:pt idx="23">
                  <c:v>0.98129999999999995</c:v>
                </c:pt>
                <c:pt idx="24">
                  <c:v>0.81749999999999989</c:v>
                </c:pt>
                <c:pt idx="25">
                  <c:v>-0.81749999999999989</c:v>
                </c:pt>
                <c:pt idx="26">
                  <c:v>-0.98129999999999995</c:v>
                </c:pt>
                <c:pt idx="27">
                  <c:v>-1.0359</c:v>
                </c:pt>
                <c:pt idx="28">
                  <c:v>-1.067841</c:v>
                </c:pt>
                <c:pt idx="29">
                  <c:v>-1.2496589999999999</c:v>
                </c:pt>
                <c:pt idx="30">
                  <c:v>-1.2816000000000001</c:v>
                </c:pt>
                <c:pt idx="31">
                  <c:v>-1.3362000000000001</c:v>
                </c:pt>
                <c:pt idx="32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0-4926-B59F-C5E4A0C92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664031"/>
        <c:axId val="1528767327"/>
      </c:scatterChart>
      <c:valAx>
        <c:axId val="141466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8767327"/>
        <c:crosses val="autoZero"/>
        <c:crossBetween val="midCat"/>
      </c:valAx>
      <c:valAx>
        <c:axId val="152876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14664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gráficas!$P$37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gráficas!$O$38:$O$75</c:f>
              <c:numCache>
                <c:formatCode>General</c:formatCode>
                <c:ptCount val="38"/>
                <c:pt idx="0">
                  <c:v>-0.437</c:v>
                </c:pt>
                <c:pt idx="1">
                  <c:v>0.97299999999999986</c:v>
                </c:pt>
                <c:pt idx="2">
                  <c:v>0.91839999999999988</c:v>
                </c:pt>
                <c:pt idx="3">
                  <c:v>0.8637999999999999</c:v>
                </c:pt>
                <c:pt idx="4">
                  <c:v>0.80919999999999992</c:v>
                </c:pt>
                <c:pt idx="5">
                  <c:v>-0.10320000000000001</c:v>
                </c:pt>
                <c:pt idx="6">
                  <c:v>-0.1578</c:v>
                </c:pt>
                <c:pt idx="7">
                  <c:v>-0.21240000000000001</c:v>
                </c:pt>
                <c:pt idx="8">
                  <c:v>-0.26700000000000002</c:v>
                </c:pt>
                <c:pt idx="9">
                  <c:v>-0.26700000000000002</c:v>
                </c:pt>
                <c:pt idx="10">
                  <c:v>-0.21240000000000001</c:v>
                </c:pt>
                <c:pt idx="11">
                  <c:v>-0.1578</c:v>
                </c:pt>
                <c:pt idx="12">
                  <c:v>-0.10320000000000001</c:v>
                </c:pt>
                <c:pt idx="13">
                  <c:v>0.80919999999999992</c:v>
                </c:pt>
                <c:pt idx="14">
                  <c:v>0.8637999999999999</c:v>
                </c:pt>
                <c:pt idx="15">
                  <c:v>0.91839999999999988</c:v>
                </c:pt>
                <c:pt idx="16">
                  <c:v>0.97299999999999986</c:v>
                </c:pt>
                <c:pt idx="17">
                  <c:v>-0.437</c:v>
                </c:pt>
                <c:pt idx="18">
                  <c:v>-0.437</c:v>
                </c:pt>
              </c:numCache>
            </c:numRef>
          </c:xVal>
          <c:yVal>
            <c:numRef>
              <c:f>gráficas!$P$38:$P$75</c:f>
              <c:numCache>
                <c:formatCode>General</c:formatCode>
                <c:ptCount val="38"/>
                <c:pt idx="0">
                  <c:v>-1.5</c:v>
                </c:pt>
                <c:pt idx="1">
                  <c:v>-1.5</c:v>
                </c:pt>
                <c:pt idx="2">
                  <c:v>-1.3362000000000001</c:v>
                </c:pt>
                <c:pt idx="3">
                  <c:v>-1.2816000000000001</c:v>
                </c:pt>
                <c:pt idx="4">
                  <c:v>-1.2496589999999999</c:v>
                </c:pt>
                <c:pt idx="5">
                  <c:v>-1.067841</c:v>
                </c:pt>
                <c:pt idx="6">
                  <c:v>-1.0359</c:v>
                </c:pt>
                <c:pt idx="7">
                  <c:v>-0.98129999999999995</c:v>
                </c:pt>
                <c:pt idx="8">
                  <c:v>-0.81749999999999989</c:v>
                </c:pt>
                <c:pt idx="9">
                  <c:v>0.81749999999999989</c:v>
                </c:pt>
                <c:pt idx="10">
                  <c:v>0.98129999999999995</c:v>
                </c:pt>
                <c:pt idx="11">
                  <c:v>1.0359</c:v>
                </c:pt>
                <c:pt idx="12">
                  <c:v>1.067841</c:v>
                </c:pt>
                <c:pt idx="13">
                  <c:v>1.2496589999999999</c:v>
                </c:pt>
                <c:pt idx="14">
                  <c:v>1.2816000000000001</c:v>
                </c:pt>
                <c:pt idx="15">
                  <c:v>1.3362000000000001</c:v>
                </c:pt>
                <c:pt idx="16">
                  <c:v>1.5</c:v>
                </c:pt>
                <c:pt idx="17">
                  <c:v>1.5</c:v>
                </c:pt>
                <c:pt idx="18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4-4D57-AD0C-971DB3B0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887663"/>
        <c:axId val="1650325535"/>
      </c:scatterChart>
      <c:valAx>
        <c:axId val="1540887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50325535"/>
        <c:crosses val="autoZero"/>
        <c:crossBetween val="midCat"/>
      </c:valAx>
      <c:valAx>
        <c:axId val="165032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4088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161925</xdr:colOff>
      <xdr:row>1</xdr:row>
      <xdr:rowOff>123825</xdr:rowOff>
    </xdr:from>
    <xdr:to>
      <xdr:col>23</xdr:col>
      <xdr:colOff>161925</xdr:colOff>
      <xdr:row>34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6E1CF5-1F80-4277-A327-FD0AC4A5D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37</xdr:row>
      <xdr:rowOff>76199</xdr:rowOff>
    </xdr:from>
    <xdr:to>
      <xdr:col>22</xdr:col>
      <xdr:colOff>76200</xdr:colOff>
      <xdr:row>69</xdr:row>
      <xdr:rowOff>28574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5D709D6-DB30-4A37-8CEF-EBAE85C048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4CE5E-9B56-4053-BFB9-517D504CB1D9}">
  <sheetPr codeName="Hoja1"/>
  <dimension ref="A1:P141"/>
  <sheetViews>
    <sheetView workbookViewId="0">
      <selection activeCell="O2" sqref="O2"/>
    </sheetView>
  </sheetViews>
  <sheetFormatPr baseColWidth="10" defaultRowHeight="15" x14ac:dyDescent="0.25"/>
  <cols>
    <col min="3" max="3" width="14.85546875" bestFit="1" customWidth="1"/>
    <col min="16" max="16" width="11.85546875" bestFit="1" customWidth="1"/>
  </cols>
  <sheetData>
    <row r="1" spans="1:16" x14ac:dyDescent="0.25">
      <c r="A1" t="s">
        <v>0</v>
      </c>
      <c r="B1" t="s">
        <v>11</v>
      </c>
      <c r="C1" t="s">
        <v>2</v>
      </c>
      <c r="D1" t="s">
        <v>12</v>
      </c>
      <c r="E1" t="s">
        <v>13</v>
      </c>
      <c r="F1" t="s">
        <v>14</v>
      </c>
      <c r="G1" t="s">
        <v>15</v>
      </c>
      <c r="H1" t="s">
        <v>3</v>
      </c>
      <c r="I1" t="s">
        <v>4</v>
      </c>
      <c r="J1" t="s">
        <v>5</v>
      </c>
      <c r="K1" t="s">
        <v>7</v>
      </c>
      <c r="L1" t="s">
        <v>8</v>
      </c>
      <c r="M1" t="s">
        <v>9</v>
      </c>
    </row>
    <row r="2" spans="1:16" x14ac:dyDescent="0.25">
      <c r="A2" t="s">
        <v>1</v>
      </c>
      <c r="B2" t="s">
        <v>16</v>
      </c>
      <c r="C2">
        <v>57300</v>
      </c>
      <c r="D2">
        <v>947</v>
      </c>
      <c r="E2">
        <v>424</v>
      </c>
      <c r="F2">
        <v>42.7</v>
      </c>
      <c r="G2">
        <v>24</v>
      </c>
      <c r="H2">
        <v>8780</v>
      </c>
      <c r="I2">
        <v>18500</v>
      </c>
      <c r="J2">
        <v>391</v>
      </c>
      <c r="K2">
        <v>541</v>
      </c>
      <c r="L2">
        <v>2560</v>
      </c>
      <c r="M2">
        <v>97</v>
      </c>
    </row>
    <row r="3" spans="1:16" x14ac:dyDescent="0.25">
      <c r="A3" t="s">
        <v>1</v>
      </c>
      <c r="B3" t="s">
        <v>17</v>
      </c>
      <c r="C3">
        <v>25600</v>
      </c>
      <c r="D3">
        <v>904</v>
      </c>
      <c r="E3">
        <v>305</v>
      </c>
      <c r="F3">
        <v>20.100000000000001</v>
      </c>
      <c r="G3">
        <v>15.2</v>
      </c>
      <c r="H3">
        <v>3250</v>
      </c>
      <c r="I3">
        <v>7190</v>
      </c>
      <c r="J3">
        <v>356</v>
      </c>
      <c r="K3">
        <v>93.7</v>
      </c>
      <c r="L3">
        <v>618</v>
      </c>
      <c r="M3">
        <v>60.5</v>
      </c>
      <c r="P3" t="str" cm="1">
        <f t="array" ref="P3">listaPerfiles(B2)</f>
        <v>{"W920X449(SI)","W920X201(SI)","W840X299(SI)","W840X176(SI)","W760X257(SI)","W760X147(SI)","W690X217(SI)","W690X125(SI)","W610X155(SI)","W610X101(SI)","W530X150(SI)","W530X92(SI)","W530X66(SI)","W460X158(SI)","W460X113(SI)","W460X74(SI)","W460X52(SI)","W410X114(SI)","W410X85(SI)","W410X60(SI)","W410X46.1(SI)","W410X38.8(SI)","W360X551(SI)","W360X216(SI)","W360X122(SI)","W360X101(SI)","W360X79(SI)","W360X64(SI)","W360X57.8(SI)","W360X44(SI)","W360X39(SI)","W360X32.9(SI)","W310X143(SI)","W310X107(SI)","W310X74(SI)","W310X60(SI)","W310X52(SI)","W310X44.5(SI)","W310X38.7(SI)","W310X32.7(SI)","W310X23.8(SI)","W250X167(SI)","W250X101(SI)","W250X80(SI)","W250X67(SI)","W250X58(SI)","W250X49.1(SI)","W250X44.8(SI)","W250X32.7(SI)","W250X28.4(SI)","W250X22.3(SI)","W200X86(SI)","W200X71(SI)","W200X59(SI)","W200X52(SI)","W200X46.1(SI)","W200X41.7(SI)","W200X35.9(SI)","W200X31.3(SI)","W200X26.6(SI)","W200X22.5(SI)","W200X19.3(SI)","W150X37.1(SI)","W150X29.8(SI)","W150X24(SI)","W150X18(SI)","W150X13.5(SI)","W130X28.1(SI)","W130X23.8(SI)","W100X19.3(SI)","W36X302(US)","W36X135(US)","W33X201(US)","W33X118(US)","W30X173(US)","W30X99(US)","W27X146(US)","W27X84(US)","W24X104(US)","W24X68(US)","W21X101(US)","W21X62(US)","W21X44(US)","W18X106(US)","W18X76(US)","W18X50(US)","W18X35(US)","W16X77(US)","W16X57(US)","W16X40(US)","W16X31(US)","W16X26(US)","W14X370(US)","W14X145(US)","W14X82(US)","W14X68(US)","W14X53(US)","W14X43(US)","W14X38(US)","W14X30(US)","W14X26(US)","W14X22(US)","W12X96(US)","W12X72(US)","W12X50(US)","W12X40(US)","W12X35(US)","W12X30(US)","W12X26(US)","W12X22(US)","W12X16(US)","W10X112(US)","W10X68(US)","W10X54(US)","W10X45(US)","W10X39(US)","W10X33(US)","W10X30(US)","W10X22(US)","W10X19(US)","W10X15(US)","W8X58(US)","W8X48(US)","W8X40(US)","W8X35(US)","W8X31(US)","W8X28(US)","W8X24(US)","W8X21(US)","W8X18(US)","W8X15(US)","W8X13(US)","W6X25(US)","W6X20(US)","W6X16(US)","W6X12(US)","W6X9(US)","W5X19(US)","W5X16(US)","W3X13(US)"};</v>
      </c>
    </row>
    <row r="4" spans="1:16" x14ac:dyDescent="0.25">
      <c r="A4" t="s">
        <v>1</v>
      </c>
      <c r="B4" t="s">
        <v>18</v>
      </c>
      <c r="C4">
        <v>38200</v>
      </c>
      <c r="D4">
        <v>856</v>
      </c>
      <c r="E4">
        <v>399</v>
      </c>
      <c r="F4">
        <v>29.2</v>
      </c>
      <c r="G4">
        <v>18.2</v>
      </c>
      <c r="H4">
        <v>4830</v>
      </c>
      <c r="I4">
        <v>11200</v>
      </c>
      <c r="J4">
        <v>356</v>
      </c>
      <c r="K4">
        <v>312</v>
      </c>
      <c r="L4">
        <v>1560</v>
      </c>
      <c r="M4">
        <v>90.4</v>
      </c>
      <c r="P4" t="str" cm="1">
        <f t="array" ref="P4">perfiles(B2)</f>
        <v>{
{{57300_mm^2,8780E6_mm^4,541E6_mm^4,0_mm^4},{947_mm,424_mm,42.7_mm,24_mm}},
{{25600_mm^2,3250E6_mm^4,93.7E6_mm^4,0_mm^4},{904_mm,305_mm,20.1_mm,15.2_mm}},
{{38200_mm^2,4830E6_mm^4,312E6_mm^4,0_mm^4},{856_mm,399_mm,29.2_mm,18.2_mm}},
{{22400_mm^2,2460E6_mm^4,77.8E6_mm^4,0_mm^4},{836_mm,292_mm,18.8_mm,14_mm}},
{{32900_mm^2,3430E6_mm^4,249E6_mm^4,0_mm^4},{772_mm,381_mm,27.2_mm,16.6_mm}},
{{18800_mm^2,1660E6_mm^4,53.3E6_mm^4,0_mm^4},{754_mm,267_mm,17_mm,13.2_mm}},
{{27800_mm^2,2360E6_mm^4,184E6_mm^4,0_mm^4},{696_mm,356_mm,24.8_mm,15.4_mm}},
{{16000_mm^2,1190E6_mm^4,44.1E6_mm^4,0_mm^4},{678_mm,254_mm,16.3_mm,11.7_mm}},
{{19700_mm^2,1290E6_mm^4,108E6_mm^4,0_mm^4},{612_mm,325_mm,19.1_mm,12.7_mm}},
{{13000_mm^2,762E6_mm^4,29.3E6_mm^4,0_mm^4},{602_mm,228_mm,14.9_mm,10.5_mm}},
{{19200_mm^2,1010E6_mm^4,103E6_mm^4,0_mm^4},{544_mm,312_mm,20.3_mm,12.7_mm}},
{{11800_mm^2,554E6_mm^4,23.9E6_mm^4,0_mm^4},{533_mm,209_mm,15.6_mm,10.2_mm}},
{{8390_mm^2,351E6_mm^4,8.62E6_mm^4,0_mm^4},{526_mm,165_mm,11.4_mm,8.89_mm}},
{{20100_mm^2,795E6_mm^4,91.6E6_mm^4,0_mm^4},{475_mm,284_mm,23.9_mm,15_mm}},
{{14400_mm^2,554E6_mm^4,63.3E6_mm^4,0_mm^4},{462_mm,279_mm,17.3_mm,10.8_mm}},
{{9480_mm^2,333E6_mm^4,16.7E6_mm^4,0_mm^4},{457_mm,191_mm,14.5_mm,9.02_mm}},
{{6650_mm^2,212E6_mm^4,6.37E6_mm^4,0_mm^4},{450_mm,152_mm,10.8_mm,7.62_mm}},
{{14600_mm^2,462E6_mm^4,57.4E6_mm^4,0_mm^4},{419_mm,262_mm,19.3_mm,11.6_mm}},
{{10800_mm^2,316E6_mm^4,17.9E6_mm^4,0_mm^4},{417_mm,181_mm,18.2_mm,10.9_mm}},
{{7610_mm^2,216E6_mm^4,12E6_mm^4,0_mm^4},{406_mm,178_mm,12.8_mm,7.75_mm}},
{{5890_mm^2,156E6_mm^4,5.16E6_mm^4,0_mm^4},{404_mm,140_mm,11.2_mm,6.99_mm}},
{{4950_mm^2,125E6_mm^4,3.99E6_mm^4,0_mm^4},{399_mm,140_mm,8.76_mm,6.35_mm}},
{{70300_mm^2,2260E6_mm^4,828E6_mm^4,0_mm^4},{455_mm,419_mm,67.6_mm,42.2_mm}},
{{27500_mm^2,712E6_mm^4,282E6_mm^4,0_mm^4},{376_mm,394_mm,27.7_mm,17.3_mm}},
{{15500_mm^2,367E6_mm^4,61.6E6_mm^4,0_mm^4},{363_mm,257_mm,21.7_mm,13_mm}},
{{12900_mm^2,301E6_mm^4,50.4E6_mm^4,0_mm^4},{356_mm,254_mm,18.3_mm,10.5_mm}},
{{10100_mm^2,225E6_mm^4,24E6_mm^4,0_mm^4},{353_mm,205_mm,16.8_mm,9.4_mm}},
{{8130_mm^2,178E6_mm^4,18.8E6_mm^4,0_mm^4},{348_mm,203_mm,13.5_mm,7.75_mm}},
{{7230_mm^2,160E6_mm^4,11.1E6_mm^4,0_mm^4},{358_mm,172_mm,13.1_mm,7.87_mm}},
{{5710_mm^2,121E6_mm^4,8.16E6_mm^4,0_mm^4},{351_mm,171_mm,9.78_mm,6.86_mm}},
{{4960_mm^2,102E6_mm^4,3.71E6_mm^4,0_mm^4},{353_mm,128_mm,10.7_mm,6.48_mm}},
{{4190_mm^2,82.8E6_mm^4,2.91E6_mm^4,0_mm^4},{348_mm,127_mm,8.51_mm,5.84_mm}},
{{18200_mm^2,347E6_mm^4,112E6_mm^4,0_mm^4},{323_mm,310_mm,22.9_mm,14_mm}},
{{13600_mm^2,248E6_mm^4,81.2E6_mm^4,0_mm^4},{312_mm,305_mm,17_mm,10.9_mm}},
{{9420_mm^2,163E6_mm^4,23.4E6_mm^4,0_mm^4},{310_mm,205_mm,16.3_mm,9.4_mm}},
{{7550_mm^2,128E6_mm^4,18.4E6_mm^4,0_mm^4},{302_mm,203_mm,13.1_mm,7.49_mm}},
{{6650_mm^2,119E6_mm^4,10.2E6_mm^4,0_mm^4},{318_mm,167_mm,13.2_mm,7.62_mm}},
{{5670_mm^2,99.1E6_mm^4,8.45E6_mm^4,0_mm^4},{312_mm,166_mm,11.2_mm,6.6_mm}},
{{4940_mm^2,84.9E6_mm^4,7.2E6_mm^4,0_mm^4},{310_mm,165_mm,9.65_mm,5.84_mm}},
{{4180_mm^2,64.9E6_mm^4,1.94E6_mm^4,0_mm^4},{312_mm,102_mm,10.8_mm,6.6_mm}},
{{3040_mm^2,42.9E6_mm^4,1.17E6_mm^4,0_mm^4},{305_mm,101_mm,6.73_mm,5.59_mm}},
{{21200_mm^2,298E6_mm^4,98.2E6_mm^4,0_mm^4},{290_mm,264_mm,31.8_mm,19.2_mm}},
{{12900_mm^2,164E6_mm^4,55.8E6_mm^4,0_mm^4},{264_mm,257_mm,19.6_mm,11.9_mm}},
{{10200_mm^2,126E6_mm^4,42.9E6_mm^4,0_mm^4},{257_mm,254_mm,15.6_mm,9.4_mm}},
{{8580_mm^2,103E6_mm^4,22.2E6_mm^4,0_mm^4},{257_mm,204_mm,15.7_mm,8.89_mm}},
{{7420_mm^2,87E6_mm^4,18.7E6_mm^4,0_mm^4},{252_mm,203_mm,13.5_mm,8_mm}},
{{6260_mm^2,71.2E6_mm^4,15.2E6_mm^4,0_mm^4},{247_mm,202_mm,11_mm,7.37_mm}},
{{5700_mm^2,70.8E6_mm^4,6.95E6_mm^4,0_mm^4},{267_mm,148_mm,13_mm,7.62_mm}},
{{4190_mm^2,49.1E6_mm^4,4.75E6_mm^4,0_mm^4},{259_mm,146_mm,9.14_mm,6.1_mm}},
{{3630_mm^2,40.1E6_mm^4,1.79E6_mm^4,0_mm^4},{259_mm,102_mm,10_mm,6.35_mm}},
{{2850_mm^2,28.7E6_mm^4,1.2E6_mm^4,0_mm^4},{254_mm,102_mm,6.86_mm,5.84_mm}},
{{11000_mm^2,94.9E6_mm^4,31.3E6_mm^4,0_mm^4},{222_mm,209_mm,20.6_mm,13_mm}},
{{9100_mm^2,76.6E6_mm^4,25.3E6_mm^4,0_mm^4},{216_mm,206_mm,17.4_mm,10.2_mm}},
{{7550_mm^2,60.8E6_mm^4,20.4E6_mm^4,0_mm^4},{210_mm,205_mm,14.2_mm,9.14_mm}},
{{6650_mm^2,52.9E6_mm^4,17.7E6_mm^4,0_mm^4},{206_mm,204_mm,12.6_mm,7.87_mm}},
{{5880_mm^2,45.8E6_mm^4,15.4E6_mm^4,0_mm^4},{203_mm,203_mm,11_mm,7.24_mm}},
{{5320_mm^2,40.8E6_mm^4,9.03E6_mm^4,0_mm^4},{205_mm,166_mm,11.8_mm,7.24_mm}},
{{4570_mm^2,34.4E6_mm^4,7.62E6_mm^4,0_mm^4},{201_mm,165_mm,10.2_mm,6.22_mm}},
{{3970_mm^2,31.3E6_mm^4,4.07E6_mm^4,0_mm^4},{210_mm,134_mm,10.2_mm,6.35_mm}},
{{3390_mm^2,25.8E6_mm^4,3.32E6_mm^4,0_mm^4},{207_mm,133_mm,8.38_mm,5.84_mm}},
{{2860_mm^2,20E6_mm^4,1.42E6_mm^4,0_mm^4},{206_mm,102_mm,8_mm,6.22_mm}},
{{2480_mm^2,16.5E6_mm^4,1.14E6_mm^4,0_mm^4},{203_mm,102_mm,6.48_mm,5.84_mm}},
{{4740_mm^2,22.2E6_mm^4,7.12E6_mm^4,0_mm^4},{162_mm,154_mm,11.6_mm,8.13_mm}},
{{3790_mm^2,17.2E6_mm^4,5.54E6_mm^4,0_mm^4},{157_mm,153_mm,9.27_mm,6.6_mm}},
{{3060_mm^2,13.4E6_mm^4,1.84E6_mm^4,0_mm^4},{160_mm,102_mm,10.3_mm,6.6_mm}},
{{2290_mm^2,9.2E6_mm^4,1.24E6_mm^4,0_mm^4},{153_mm,102_mm,7.11_mm,5.84_mm}},
{{1730_mm^2,6.83E6_mm^4,0.916E6_mm^4,0_mm^4},{150_mm,100_mm,5.46_mm,4.32_mm}},
{{3590_mm^2,10.9E6_mm^4,3.8E6_mm^4,0_mm^4},{131_mm,128_mm,10.9_mm,6.86_mm}},
{{3040_mm^2,8.91E6_mm^4,3.13E6_mm^4,0_mm^4},{127_mm,127_mm,9.14_mm,6.1_mm}},
{{2470_mm^2,4.7E6_mm^4,1.61E6_mm^4,0_mm^4},{106_mm,103_mm,8.76_mm,7.11_mm}},
{{88.8_in^2,21100_in^4,1300_in^4,0_in^4},{37.3_in,16.7_in,1.68_in,0.945_in}},
{{39.7_in^2,7800_in^4,225_in^4,0_in^4},{35.6_in,12_in,0.79_in,0.6_in}},
{{59.2_in^2,11600_in^4,749_in^4,0_in^4},{33.7_in,15.7_in,1.15_in,0.715_in}},
{{34.7_in^2,5900_in^4,187_in^4,0_in^4},{32.9_in,11.5_in,0.74_in,0.55_in}},
{{51_in^2,8230_in^4,598_in^4,0_in^4},{30.4_in,15_in,1.07_in,0.655_in}},
{{29.1_in^2,3990_in^4,128_in^4,0_in^4},{29.7_in,10.5_in,0.67_in,0.52_in}},
{{43.1_in^2,5660_in^4,443_in^4,0_in^4},{27.4_in,14_in,0.975_in,0.605_in}},
{{24.8_in^2,2850_in^4,106_in^4,0_in^4},{26.7_in,10_in,0.64_in,0.46_in}},
{{30.6_in^2,3100_in^4,259_in^4,0_in^4},{24.1_in,12.8_in,0.75_in,0.5_in}},
{{20.1_in^2,1830_in^4,70.4_in^4,0_in^4},{23.7_in,8.97_in,0.585_in,0.415_in}},
{{29.8_in^2,2420_in^4,248_in^4,0_in^4},{21.4_in,12.3_in,0.8_in,0.5_in}},
{{18.3_in^2,1330_in^4,57.5_in^4,0_in^4},{21_in,8.24_in,0.615_in,0.4_in}},
{{13_in^2,843_in^4,20.7_in^4,0_in^4},{20.7_in,6.5_in,0.45_in,0.35_in}},
{{31.1_in^2,1910_in^4,220_in^4,0_in^4},{18.7_in,11.2_in,0.94_in,0.59_in}},
{{22.3_in^2,1330_in^4,152_in^4,0_in^4},{18.2_in,11_in,0.68_in,0.425_in}},
{{14.7_in^2,800_in^4,40.1_in^4,0_in^4},{18_in,7.5_in,0.57_in,0.355_in}},
{{10.3_in^2,510_in^4,15.3_in^4,0_in^4},{17.7_in,6_in,0.425_in,0.3_in}},
{{22.6_in^2,1110_in^4,138_in^4,0_in^4},{16.5_in,10.3_in,0.76_in,0.455_in}},
{{16.8_in^2,758_in^4,43.1_in^4,0_in^4},{16.4_in,7.12_in,0.715_in,0.43_in}},
{{11.8_in^2,518_in^4,28.9_in^4,0_in^4},{16_in,7_in,0.505_in,0.305_in}},
{{9.13_in^2,375_in^4,12.4_in^4,0_in^4},{15.9_in,5.53_in,0.44_in,0.275_in}},
{{7.68_in^2,301_in^4,9.59_in^4,0_in^4},{15.7_in,5.5_in,0.345_in,0.25_in}},
{{109_in^2,5440_in^4,1990_in^4,0_in^4},{17.9_in,16.5_in,2.66_in,1.66_in}},
{{42.7_in^2,1710_in^4,677_in^4,0_in^4},{14.8_in,15.5_in,1.09_in,0.68_in}},
{{24_in^2,881_in^4,148_in^4,0_in^4},{14.3_in,10.1_in,0.855_in,0.51_in}},
{{20_in^2,722_in^4,121_in^4,0_in^4},{14_in,10_in,0.72_in,0.415_in}},
{{15.6_in^2,541_in^4,57.7_in^4,0_in^4},{13.9_in,8.06_in,0.66_in,0.37_in}},
{{12.6_in^2,428_in^4,45.2_in^4,0_in^4},{13.7_in,8_in,0.53_in,0.305_in}},
{{11.2_in^2,385_in^4,26.7_in^4,0_in^4},{14.1_in,6.77_in,0.515_in,0.31_in}},
{{8.85_in^2,291_in^4,19.6_in^4,0_in^4},{13.8_in,6.73_in,0.385_in,0.27_in}},
{{7.69_in^2,245_in^4,8.91_in^4,0_in^4},{13.9_in,5.03_in,0.42_in,0.255_in}},
{{6.49_in^2,199_in^4,7_in^4,0_in^4},{13.7_in,5_in,0.335_in,0.23_in}},
{{28.2_in^2,833_in^4,270_in^4,0_in^4},{12.7_in,12.2_in,0.9_in,0.55_in}},
{{21.1_in^2,597_in^4,195_in^4,0_in^4},{12.3_in,12_in,0.67_in,0.43_in}},
{{14.6_in^2,391_in^4,56.3_in^4,0_in^4},{12.2_in,8.08_in,0.64_in,0.37_in}},
{{11.7_in^2,307_in^4,44.1_in^4,0_in^4},{11.9_in,8.01_in,0.515_in,0.295_in}},
{{10.3_in^2,285_in^4,24.5_in^4,0_in^4},{12.5_in,6.56_in,0.52_in,0.3_in}},
{{8.79_in^2,238_in^4,20.3_in^4,0_in^4},{12.3_in,6.52_in,0.44_in,0.26_in}},
{{7.65_in^2,204_in^4,17.3_in^4,0_in^4},{12.2_in,6.49_in,0.38_in,0.23_in}},
{{6.48_in^2,156_in^4,4.66_in^4,0_in^4},{12.3_in,4.03_in,0.425_in,0.26_in}},
{{4.71_in^2,103_in^4,2.82_in^4,0_in^4},{12_in,3.99_in,0.265_in,0.22_in}},
{{32.9_in^2,716_in^4,236_in^4,0_in^4},{11.4_in,10.4_in,1.25_in,0.755_in}},
{{20_in^2,394_in^4,134_in^4,0_in^4},{10.4_in,10.1_in,0.77_in,0.47_in}},
{{15.8_in^2,303_in^4,103_in^4,0_in^4},{10.1_in,10_in,0.615_in,0.37_in}},
{{13.3_in^2,248_in^4,53.4_in^4,0_in^4},{10.1_in,8.02_in,0.62_in,0.35_in}},
{{11.5_in^2,209_in^4,45_in^4,0_in^4},{9.92_in,7.99_in,0.53_in,0.315_in}},
{{9.71_in^2,171_in^4,36.6_in^4,0_in^4},{9.73_in,7.96_in,0.435_in,0.29_in}},
{{8.84_in^2,170_in^4,16.7_in^4,0_in^4},{10.5_in,5.81_in,0.51_in,0.3_in}},
{{6.49_in^2,118_in^4,11.4_in^4,0_in^4},{10.2_in,5.75_in,0.36_in,0.24_in}},
{{5.62_in^2,96.3_in^4,4.29_in^4,0_in^4},{10.2_in,4.02_in,0.395_in,0.25_in}},
{{4.41_in^2,68.9_in^4,2.89_in^4,0_in^4},{10_in,4_in,0.27_in,0.23_in}},
{{17.1_in^2,228_in^4,75.1_in^4,0_in^4},{8.75_in,8.22_in,0.81_in,0.51_in}},
{{14.1_in^2,184_in^4,60.9_in^4,0_in^4},{8.5_in,8.11_in,0.685_in,0.4_in}},
{{11.7_in^2,146_in^4,49.1_in^4,0_in^4},{8.25_in,8.07_in,0.56_in,0.36_in}},
{{10.3_in^2,127_in^4,42.6_in^4,0_in^4},{8.12_in,8.02_in,0.495_in,0.31_in}},
{{9.12_in^2,110_in^4,37.1_in^4,0_in^4},{8_in,8_in,0.435_in,0.285_in}},
{{8.24_in^2,98_in^4,21.7_in^4,0_in^4},{8.06_in,6.54_in,0.465_in,0.285_in}},
{{7.08_in^2,82.7_in^4,18.3_in^4,0_in^4},{7.93_in,6.5_in,0.4_in,0.245_in}},
{{6.16_in^2,75.3_in^4,9.77_in^4,0_in^4},{8.28_in,5.27_in,0.4_in,0.25_in}},
{{5.26_in^2,61.9_in^4,7.97_in^4,0_in^4},{8.14_in,5.25_in,0.33_in,0.23_in}},
{{4.44_in^2,48_in^4,3.41_in^4,0_in^4},{8.11_in,4.01_in,0.315_in,0.245_in}},
{{3.84_in^2,39.6_in^4,2.73_in^4,0_in^4},{7.99_in,4_in,0.255_in,0.23_in}},
{{7.34_in^2,53.4_in^4,17.1_in^4,0_in^4},{6.38_in,6.08_in,0.455_in,0.32_in}},
{{5.87_in^2,41.4_in^4,13.3_in^4,0_in^4},{6.2_in,6.02_in,0.365_in,0.26_in}},
{{4.74_in^2,32.1_in^4,4.43_in^4,0_in^4},{6.28_in,4.03_in,0.405_in,0.26_in}},
{{3.55_in^2,22.1_in^4,2.99_in^4,0_in^4},{6.03_in,4_in,0.28_in,0.23_in}},
{{2.68_in^2,16.4_in^4,2.2_in^4,0_in^4},{5.9_in,3.94_in,0.215_in,0.17_in}},
{{5.56_in^2,26.3_in^4,9.13_in^4,0_in^4},{5.15_in,5.03_in,0.43_in,0.27_in}},
{{4.71_in^2,21.4_in^4,7.51_in^4,0_in^4},{5.01_in,5_in,0.36_in,0.24_in}},
{{3.83_in^2,11.3_in^4,3.86_in^4,0_in^4},{4.16_in,4.06_in,0.345_in,0.28_in}}
};</v>
      </c>
    </row>
    <row r="5" spans="1:16" x14ac:dyDescent="0.25">
      <c r="A5" t="s">
        <v>1</v>
      </c>
      <c r="B5" t="s">
        <v>19</v>
      </c>
      <c r="C5">
        <v>22400</v>
      </c>
      <c r="D5">
        <v>836</v>
      </c>
      <c r="E5">
        <v>292</v>
      </c>
      <c r="F5">
        <v>18.8</v>
      </c>
      <c r="G5">
        <v>14</v>
      </c>
      <c r="H5">
        <v>2460</v>
      </c>
      <c r="I5">
        <v>5880</v>
      </c>
      <c r="J5">
        <v>330</v>
      </c>
      <c r="K5">
        <v>77.8</v>
      </c>
      <c r="L5">
        <v>534</v>
      </c>
      <c r="M5">
        <v>58.9</v>
      </c>
    </row>
    <row r="6" spans="1:16" x14ac:dyDescent="0.25">
      <c r="A6" t="s">
        <v>1</v>
      </c>
      <c r="B6" t="s">
        <v>20</v>
      </c>
      <c r="C6">
        <v>32900</v>
      </c>
      <c r="D6">
        <v>772</v>
      </c>
      <c r="E6">
        <v>381</v>
      </c>
      <c r="F6">
        <v>27.2</v>
      </c>
      <c r="G6">
        <v>16.600000000000001</v>
      </c>
      <c r="H6">
        <v>3430</v>
      </c>
      <c r="I6">
        <v>8870</v>
      </c>
      <c r="J6">
        <v>323</v>
      </c>
      <c r="K6">
        <v>249</v>
      </c>
      <c r="L6">
        <v>1310</v>
      </c>
      <c r="M6">
        <v>86.9</v>
      </c>
    </row>
    <row r="7" spans="1:16" x14ac:dyDescent="0.25">
      <c r="A7" t="s">
        <v>1</v>
      </c>
      <c r="B7" t="s">
        <v>21</v>
      </c>
      <c r="C7">
        <v>18800</v>
      </c>
      <c r="D7">
        <v>754</v>
      </c>
      <c r="E7">
        <v>267</v>
      </c>
      <c r="F7">
        <v>17</v>
      </c>
      <c r="G7">
        <v>13.2</v>
      </c>
      <c r="H7">
        <v>1660</v>
      </c>
      <c r="I7">
        <v>4410</v>
      </c>
      <c r="J7">
        <v>297</v>
      </c>
      <c r="K7">
        <v>53.3</v>
      </c>
      <c r="L7">
        <v>401</v>
      </c>
      <c r="M7">
        <v>53.3</v>
      </c>
    </row>
    <row r="8" spans="1:16" x14ac:dyDescent="0.25">
      <c r="A8" t="s">
        <v>1</v>
      </c>
      <c r="B8" t="s">
        <v>22</v>
      </c>
      <c r="C8">
        <v>27800</v>
      </c>
      <c r="D8">
        <v>696</v>
      </c>
      <c r="E8">
        <v>356</v>
      </c>
      <c r="F8">
        <v>24.8</v>
      </c>
      <c r="G8">
        <v>15.4</v>
      </c>
      <c r="H8">
        <v>2360</v>
      </c>
      <c r="I8">
        <v>6780</v>
      </c>
      <c r="J8">
        <v>292</v>
      </c>
      <c r="K8">
        <v>184</v>
      </c>
      <c r="L8">
        <v>1040</v>
      </c>
      <c r="M8">
        <v>81.3</v>
      </c>
    </row>
    <row r="9" spans="1:16" x14ac:dyDescent="0.25">
      <c r="A9" t="s">
        <v>1</v>
      </c>
      <c r="B9" t="s">
        <v>23</v>
      </c>
      <c r="C9">
        <v>16000</v>
      </c>
      <c r="D9">
        <v>678</v>
      </c>
      <c r="E9">
        <v>254</v>
      </c>
      <c r="F9">
        <v>16.3</v>
      </c>
      <c r="G9">
        <v>11.7</v>
      </c>
      <c r="H9">
        <v>1190</v>
      </c>
      <c r="I9">
        <v>3490</v>
      </c>
      <c r="J9">
        <v>272</v>
      </c>
      <c r="K9">
        <v>44.1</v>
      </c>
      <c r="L9">
        <v>347</v>
      </c>
      <c r="M9">
        <v>52.6</v>
      </c>
    </row>
    <row r="10" spans="1:16" x14ac:dyDescent="0.25">
      <c r="A10" t="s">
        <v>1</v>
      </c>
      <c r="B10" t="s">
        <v>24</v>
      </c>
      <c r="C10">
        <v>19700</v>
      </c>
      <c r="D10">
        <v>612</v>
      </c>
      <c r="E10">
        <v>325</v>
      </c>
      <c r="F10">
        <v>19.100000000000001</v>
      </c>
      <c r="G10">
        <v>12.7</v>
      </c>
      <c r="H10">
        <v>1290</v>
      </c>
      <c r="I10">
        <v>4230</v>
      </c>
      <c r="J10">
        <v>257</v>
      </c>
      <c r="K10">
        <v>108</v>
      </c>
      <c r="L10">
        <v>667</v>
      </c>
      <c r="M10">
        <v>73.900000000000006</v>
      </c>
    </row>
    <row r="11" spans="1:16" x14ac:dyDescent="0.25">
      <c r="A11" t="s">
        <v>1</v>
      </c>
      <c r="B11" t="s">
        <v>25</v>
      </c>
      <c r="C11">
        <v>13000</v>
      </c>
      <c r="D11">
        <v>602</v>
      </c>
      <c r="E11">
        <v>228</v>
      </c>
      <c r="F11">
        <v>14.9</v>
      </c>
      <c r="G11">
        <v>10.5</v>
      </c>
      <c r="H11">
        <v>762</v>
      </c>
      <c r="I11">
        <v>2520</v>
      </c>
      <c r="J11">
        <v>243</v>
      </c>
      <c r="K11">
        <v>29.3</v>
      </c>
      <c r="L11">
        <v>257</v>
      </c>
      <c r="M11">
        <v>47.5</v>
      </c>
    </row>
    <row r="12" spans="1:16" x14ac:dyDescent="0.25">
      <c r="A12" t="s">
        <v>1</v>
      </c>
      <c r="B12" t="s">
        <v>26</v>
      </c>
      <c r="C12">
        <v>19200</v>
      </c>
      <c r="D12">
        <v>544</v>
      </c>
      <c r="E12">
        <v>312</v>
      </c>
      <c r="F12">
        <v>20.3</v>
      </c>
      <c r="G12">
        <v>12.7</v>
      </c>
      <c r="H12">
        <v>1010</v>
      </c>
      <c r="I12">
        <v>3720</v>
      </c>
      <c r="J12">
        <v>229</v>
      </c>
      <c r="K12">
        <v>103</v>
      </c>
      <c r="L12">
        <v>660</v>
      </c>
      <c r="M12">
        <v>73.400000000000006</v>
      </c>
    </row>
    <row r="13" spans="1:16" x14ac:dyDescent="0.25">
      <c r="A13" t="s">
        <v>1</v>
      </c>
      <c r="B13" t="s">
        <v>27</v>
      </c>
      <c r="C13">
        <v>11800</v>
      </c>
      <c r="D13">
        <v>533</v>
      </c>
      <c r="E13">
        <v>209</v>
      </c>
      <c r="F13">
        <v>15.6</v>
      </c>
      <c r="G13">
        <v>10.199999999999999</v>
      </c>
      <c r="H13">
        <v>554</v>
      </c>
      <c r="I13">
        <v>2080</v>
      </c>
      <c r="J13">
        <v>217</v>
      </c>
      <c r="K13">
        <v>23.9</v>
      </c>
      <c r="L13">
        <v>229</v>
      </c>
      <c r="M13">
        <v>45</v>
      </c>
    </row>
    <row r="14" spans="1:16" x14ac:dyDescent="0.25">
      <c r="A14" t="s">
        <v>1</v>
      </c>
      <c r="B14" t="s">
        <v>28</v>
      </c>
      <c r="C14">
        <v>8390</v>
      </c>
      <c r="D14">
        <v>526</v>
      </c>
      <c r="E14">
        <v>165</v>
      </c>
      <c r="F14">
        <v>11.4</v>
      </c>
      <c r="G14">
        <v>8.89</v>
      </c>
      <c r="H14">
        <v>351</v>
      </c>
      <c r="I14">
        <v>1340</v>
      </c>
      <c r="J14">
        <v>205</v>
      </c>
      <c r="K14">
        <v>8.6199999999999992</v>
      </c>
      <c r="L14">
        <v>104</v>
      </c>
      <c r="M14">
        <v>32</v>
      </c>
    </row>
    <row r="15" spans="1:16" x14ac:dyDescent="0.25">
      <c r="A15" t="s">
        <v>1</v>
      </c>
      <c r="B15" t="s">
        <v>29</v>
      </c>
      <c r="C15">
        <v>20100</v>
      </c>
      <c r="D15">
        <v>475</v>
      </c>
      <c r="E15">
        <v>284</v>
      </c>
      <c r="F15">
        <v>23.9</v>
      </c>
      <c r="G15">
        <v>15</v>
      </c>
      <c r="H15">
        <v>795</v>
      </c>
      <c r="I15">
        <v>3340</v>
      </c>
      <c r="J15">
        <v>199</v>
      </c>
      <c r="K15">
        <v>91.6</v>
      </c>
      <c r="L15">
        <v>646</v>
      </c>
      <c r="M15">
        <v>67.599999999999994</v>
      </c>
    </row>
    <row r="16" spans="1:16" x14ac:dyDescent="0.25">
      <c r="A16" t="s">
        <v>1</v>
      </c>
      <c r="B16" t="s">
        <v>30</v>
      </c>
      <c r="C16">
        <v>14400</v>
      </c>
      <c r="D16">
        <v>462</v>
      </c>
      <c r="E16">
        <v>279</v>
      </c>
      <c r="F16">
        <v>17.3</v>
      </c>
      <c r="G16">
        <v>10.8</v>
      </c>
      <c r="H16">
        <v>554</v>
      </c>
      <c r="I16">
        <v>2390</v>
      </c>
      <c r="J16">
        <v>196</v>
      </c>
      <c r="K16">
        <v>63.3</v>
      </c>
      <c r="L16">
        <v>452</v>
      </c>
      <c r="M16">
        <v>66.3</v>
      </c>
    </row>
    <row r="17" spans="1:13" x14ac:dyDescent="0.25">
      <c r="A17" t="s">
        <v>1</v>
      </c>
      <c r="B17" t="s">
        <v>31</v>
      </c>
      <c r="C17">
        <v>9480</v>
      </c>
      <c r="D17">
        <v>457</v>
      </c>
      <c r="E17">
        <v>191</v>
      </c>
      <c r="F17">
        <v>14.5</v>
      </c>
      <c r="G17">
        <v>9.02</v>
      </c>
      <c r="H17">
        <v>333</v>
      </c>
      <c r="I17">
        <v>1460</v>
      </c>
      <c r="J17">
        <v>187</v>
      </c>
      <c r="K17">
        <v>16.7</v>
      </c>
      <c r="L17">
        <v>175</v>
      </c>
      <c r="M17">
        <v>41.9</v>
      </c>
    </row>
    <row r="18" spans="1:13" x14ac:dyDescent="0.25">
      <c r="A18" t="s">
        <v>1</v>
      </c>
      <c r="B18" t="s">
        <v>32</v>
      </c>
      <c r="C18">
        <v>6650</v>
      </c>
      <c r="D18">
        <v>450</v>
      </c>
      <c r="E18">
        <v>152</v>
      </c>
      <c r="F18">
        <v>10.8</v>
      </c>
      <c r="G18">
        <v>7.62</v>
      </c>
      <c r="H18">
        <v>212</v>
      </c>
      <c r="I18">
        <v>944</v>
      </c>
      <c r="J18">
        <v>179</v>
      </c>
      <c r="K18">
        <v>6.37</v>
      </c>
      <c r="L18">
        <v>83.9</v>
      </c>
      <c r="M18">
        <v>31</v>
      </c>
    </row>
    <row r="19" spans="1:13" x14ac:dyDescent="0.25">
      <c r="A19" t="s">
        <v>1</v>
      </c>
      <c r="B19" t="s">
        <v>33</v>
      </c>
      <c r="C19">
        <v>14600</v>
      </c>
      <c r="D19">
        <v>419</v>
      </c>
      <c r="E19">
        <v>262</v>
      </c>
      <c r="F19">
        <v>19.3</v>
      </c>
      <c r="G19">
        <v>11.6</v>
      </c>
      <c r="H19">
        <v>462</v>
      </c>
      <c r="I19">
        <v>2200</v>
      </c>
      <c r="J19">
        <v>178</v>
      </c>
      <c r="K19">
        <v>57.4</v>
      </c>
      <c r="L19">
        <v>441</v>
      </c>
      <c r="M19">
        <v>62.7</v>
      </c>
    </row>
    <row r="20" spans="1:13" x14ac:dyDescent="0.25">
      <c r="A20" t="s">
        <v>1</v>
      </c>
      <c r="B20" t="s">
        <v>34</v>
      </c>
      <c r="C20">
        <v>10800</v>
      </c>
      <c r="D20">
        <v>417</v>
      </c>
      <c r="E20">
        <v>181</v>
      </c>
      <c r="F20">
        <v>18.2</v>
      </c>
      <c r="G20">
        <v>10.9</v>
      </c>
      <c r="H20">
        <v>316</v>
      </c>
      <c r="I20">
        <v>1510</v>
      </c>
      <c r="J20">
        <v>171</v>
      </c>
      <c r="K20">
        <v>17.899999999999999</v>
      </c>
      <c r="L20">
        <v>198</v>
      </c>
      <c r="M20">
        <v>40.6</v>
      </c>
    </row>
    <row r="21" spans="1:13" x14ac:dyDescent="0.25">
      <c r="A21" t="s">
        <v>1</v>
      </c>
      <c r="B21" t="s">
        <v>35</v>
      </c>
      <c r="C21">
        <v>7610</v>
      </c>
      <c r="D21">
        <v>406</v>
      </c>
      <c r="E21">
        <v>178</v>
      </c>
      <c r="F21">
        <v>12.8</v>
      </c>
      <c r="G21">
        <v>7.75</v>
      </c>
      <c r="H21">
        <v>216</v>
      </c>
      <c r="I21">
        <v>1060</v>
      </c>
      <c r="J21">
        <v>168</v>
      </c>
      <c r="K21">
        <v>12</v>
      </c>
      <c r="L21">
        <v>135</v>
      </c>
      <c r="M21">
        <v>39.9</v>
      </c>
    </row>
    <row r="22" spans="1:13" x14ac:dyDescent="0.25">
      <c r="A22" t="s">
        <v>1</v>
      </c>
      <c r="B22" t="s">
        <v>36</v>
      </c>
      <c r="C22">
        <v>5890</v>
      </c>
      <c r="D22">
        <v>404</v>
      </c>
      <c r="E22">
        <v>140</v>
      </c>
      <c r="F22">
        <v>11.2</v>
      </c>
      <c r="G22">
        <v>6.99</v>
      </c>
      <c r="H22">
        <v>156</v>
      </c>
      <c r="I22">
        <v>773</v>
      </c>
      <c r="J22">
        <v>163</v>
      </c>
      <c r="K22">
        <v>5.16</v>
      </c>
      <c r="L22">
        <v>73.599999999999994</v>
      </c>
      <c r="M22">
        <v>29.7</v>
      </c>
    </row>
    <row r="23" spans="1:13" x14ac:dyDescent="0.25">
      <c r="A23" t="s">
        <v>1</v>
      </c>
      <c r="B23" t="s">
        <v>37</v>
      </c>
      <c r="C23">
        <v>4950</v>
      </c>
      <c r="D23">
        <v>399</v>
      </c>
      <c r="E23">
        <v>140</v>
      </c>
      <c r="F23">
        <v>8.76</v>
      </c>
      <c r="G23">
        <v>6.35</v>
      </c>
      <c r="H23">
        <v>125</v>
      </c>
      <c r="I23">
        <v>629</v>
      </c>
      <c r="J23">
        <v>159</v>
      </c>
      <c r="K23">
        <v>3.99</v>
      </c>
      <c r="L23">
        <v>57.2</v>
      </c>
      <c r="M23">
        <v>28.4</v>
      </c>
    </row>
    <row r="24" spans="1:13" x14ac:dyDescent="0.25">
      <c r="A24" t="s">
        <v>1</v>
      </c>
      <c r="B24" t="s">
        <v>38</v>
      </c>
      <c r="C24">
        <v>70300</v>
      </c>
      <c r="D24">
        <v>455</v>
      </c>
      <c r="E24">
        <v>419</v>
      </c>
      <c r="F24">
        <v>67.599999999999994</v>
      </c>
      <c r="G24">
        <v>42.2</v>
      </c>
      <c r="H24">
        <v>2260</v>
      </c>
      <c r="I24">
        <v>9950</v>
      </c>
      <c r="J24">
        <v>180</v>
      </c>
      <c r="K24">
        <v>828</v>
      </c>
      <c r="L24">
        <v>3950</v>
      </c>
      <c r="M24">
        <v>108</v>
      </c>
    </row>
    <row r="25" spans="1:13" x14ac:dyDescent="0.25">
      <c r="A25" t="s">
        <v>1</v>
      </c>
      <c r="B25" t="s">
        <v>39</v>
      </c>
      <c r="C25">
        <v>27500</v>
      </c>
      <c r="D25">
        <v>376</v>
      </c>
      <c r="E25">
        <v>394</v>
      </c>
      <c r="F25">
        <v>27.7</v>
      </c>
      <c r="G25">
        <v>17.3</v>
      </c>
      <c r="H25">
        <v>712</v>
      </c>
      <c r="I25">
        <v>3800</v>
      </c>
      <c r="J25">
        <v>161</v>
      </c>
      <c r="K25">
        <v>282</v>
      </c>
      <c r="L25">
        <v>1430</v>
      </c>
      <c r="M25">
        <v>101</v>
      </c>
    </row>
    <row r="26" spans="1:13" x14ac:dyDescent="0.25">
      <c r="A26" t="s">
        <v>1</v>
      </c>
      <c r="B26" t="s">
        <v>40</v>
      </c>
      <c r="C26">
        <v>15500</v>
      </c>
      <c r="D26">
        <v>363</v>
      </c>
      <c r="E26">
        <v>257</v>
      </c>
      <c r="F26">
        <v>21.7</v>
      </c>
      <c r="G26">
        <v>13</v>
      </c>
      <c r="H26">
        <v>367</v>
      </c>
      <c r="I26">
        <v>2020</v>
      </c>
      <c r="J26">
        <v>154</v>
      </c>
      <c r="K26">
        <v>61.6</v>
      </c>
      <c r="L26">
        <v>480</v>
      </c>
      <c r="M26">
        <v>63</v>
      </c>
    </row>
    <row r="27" spans="1:13" x14ac:dyDescent="0.25">
      <c r="A27" t="s">
        <v>1</v>
      </c>
      <c r="B27" t="s">
        <v>41</v>
      </c>
      <c r="C27">
        <v>12900</v>
      </c>
      <c r="D27">
        <v>356</v>
      </c>
      <c r="E27">
        <v>254</v>
      </c>
      <c r="F27">
        <v>18.3</v>
      </c>
      <c r="G27">
        <v>10.5</v>
      </c>
      <c r="H27">
        <v>301</v>
      </c>
      <c r="I27">
        <v>1690</v>
      </c>
      <c r="J27">
        <v>153</v>
      </c>
      <c r="K27">
        <v>50.4</v>
      </c>
      <c r="L27">
        <v>397</v>
      </c>
      <c r="M27">
        <v>62.5</v>
      </c>
    </row>
    <row r="28" spans="1:13" x14ac:dyDescent="0.25">
      <c r="A28" t="s">
        <v>1</v>
      </c>
      <c r="B28" t="s">
        <v>42</v>
      </c>
      <c r="C28">
        <v>10100</v>
      </c>
      <c r="D28">
        <v>353</v>
      </c>
      <c r="E28">
        <v>205</v>
      </c>
      <c r="F28">
        <v>16.8</v>
      </c>
      <c r="G28">
        <v>9.4</v>
      </c>
      <c r="H28">
        <v>225</v>
      </c>
      <c r="I28">
        <v>1270</v>
      </c>
      <c r="J28">
        <v>150</v>
      </c>
      <c r="K28">
        <v>24</v>
      </c>
      <c r="L28">
        <v>234</v>
      </c>
      <c r="M28">
        <v>48.8</v>
      </c>
    </row>
    <row r="29" spans="1:13" x14ac:dyDescent="0.25">
      <c r="A29" t="s">
        <v>1</v>
      </c>
      <c r="B29" t="s">
        <v>43</v>
      </c>
      <c r="C29">
        <v>8130</v>
      </c>
      <c r="D29">
        <v>348</v>
      </c>
      <c r="E29">
        <v>203</v>
      </c>
      <c r="F29">
        <v>13.5</v>
      </c>
      <c r="G29">
        <v>7.75</v>
      </c>
      <c r="H29">
        <v>178</v>
      </c>
      <c r="I29">
        <v>1030</v>
      </c>
      <c r="J29">
        <v>148</v>
      </c>
      <c r="K29">
        <v>18.8</v>
      </c>
      <c r="L29">
        <v>185</v>
      </c>
      <c r="M29">
        <v>48</v>
      </c>
    </row>
    <row r="30" spans="1:13" x14ac:dyDescent="0.25">
      <c r="A30" t="s">
        <v>1</v>
      </c>
      <c r="B30" t="s">
        <v>44</v>
      </c>
      <c r="C30">
        <v>7230</v>
      </c>
      <c r="D30">
        <v>358</v>
      </c>
      <c r="E30">
        <v>172</v>
      </c>
      <c r="F30">
        <v>13.1</v>
      </c>
      <c r="G30">
        <v>7.87</v>
      </c>
      <c r="H30">
        <v>160</v>
      </c>
      <c r="I30">
        <v>895</v>
      </c>
      <c r="J30">
        <v>149</v>
      </c>
      <c r="K30">
        <v>11.1</v>
      </c>
      <c r="L30">
        <v>129</v>
      </c>
      <c r="M30">
        <v>39.4</v>
      </c>
    </row>
    <row r="31" spans="1:13" x14ac:dyDescent="0.25">
      <c r="A31" t="s">
        <v>1</v>
      </c>
      <c r="B31" t="s">
        <v>45</v>
      </c>
      <c r="C31">
        <v>5710</v>
      </c>
      <c r="D31">
        <v>351</v>
      </c>
      <c r="E31">
        <v>171</v>
      </c>
      <c r="F31">
        <v>9.7799999999999994</v>
      </c>
      <c r="G31">
        <v>6.86</v>
      </c>
      <c r="H31">
        <v>121</v>
      </c>
      <c r="I31">
        <v>688</v>
      </c>
      <c r="J31">
        <v>146</v>
      </c>
      <c r="K31">
        <v>8.16</v>
      </c>
      <c r="L31">
        <v>95.4</v>
      </c>
      <c r="M31">
        <v>37.799999999999997</v>
      </c>
    </row>
    <row r="32" spans="1:13" x14ac:dyDescent="0.25">
      <c r="A32" t="s">
        <v>1</v>
      </c>
      <c r="B32" t="s">
        <v>46</v>
      </c>
      <c r="C32">
        <v>4960</v>
      </c>
      <c r="D32">
        <v>353</v>
      </c>
      <c r="E32">
        <v>128</v>
      </c>
      <c r="F32">
        <v>10.7</v>
      </c>
      <c r="G32">
        <v>6.48</v>
      </c>
      <c r="H32">
        <v>102</v>
      </c>
      <c r="I32">
        <v>578</v>
      </c>
      <c r="J32">
        <v>144</v>
      </c>
      <c r="K32">
        <v>3.71</v>
      </c>
      <c r="L32">
        <v>58.2</v>
      </c>
      <c r="M32">
        <v>27.4</v>
      </c>
    </row>
    <row r="33" spans="1:13" x14ac:dyDescent="0.25">
      <c r="A33" t="s">
        <v>1</v>
      </c>
      <c r="B33" t="s">
        <v>47</v>
      </c>
      <c r="C33">
        <v>4190</v>
      </c>
      <c r="D33">
        <v>348</v>
      </c>
      <c r="E33">
        <v>127</v>
      </c>
      <c r="F33">
        <v>8.51</v>
      </c>
      <c r="G33">
        <v>5.84</v>
      </c>
      <c r="H33">
        <v>82.8</v>
      </c>
      <c r="I33">
        <v>475</v>
      </c>
      <c r="J33">
        <v>141</v>
      </c>
      <c r="K33">
        <v>2.91</v>
      </c>
      <c r="L33">
        <v>45.9</v>
      </c>
      <c r="M33">
        <v>26.4</v>
      </c>
    </row>
    <row r="34" spans="1:13" x14ac:dyDescent="0.25">
      <c r="A34" t="s">
        <v>1</v>
      </c>
      <c r="B34" t="s">
        <v>48</v>
      </c>
      <c r="C34">
        <v>18200</v>
      </c>
      <c r="D34">
        <v>323</v>
      </c>
      <c r="E34">
        <v>310</v>
      </c>
      <c r="F34">
        <v>22.9</v>
      </c>
      <c r="G34">
        <v>14</v>
      </c>
      <c r="H34">
        <v>347</v>
      </c>
      <c r="I34">
        <v>2150</v>
      </c>
      <c r="J34">
        <v>138</v>
      </c>
      <c r="K34">
        <v>112</v>
      </c>
      <c r="L34">
        <v>728</v>
      </c>
      <c r="M34">
        <v>78.5</v>
      </c>
    </row>
    <row r="35" spans="1:13" x14ac:dyDescent="0.25">
      <c r="A35" t="s">
        <v>1</v>
      </c>
      <c r="B35" t="s">
        <v>49</v>
      </c>
      <c r="C35">
        <v>13600</v>
      </c>
      <c r="D35">
        <v>312</v>
      </c>
      <c r="E35">
        <v>305</v>
      </c>
      <c r="F35">
        <v>17</v>
      </c>
      <c r="G35">
        <v>10.9</v>
      </c>
      <c r="H35">
        <v>248</v>
      </c>
      <c r="I35">
        <v>1600</v>
      </c>
      <c r="J35">
        <v>135</v>
      </c>
      <c r="K35">
        <v>81.2</v>
      </c>
      <c r="L35">
        <v>531</v>
      </c>
      <c r="M35">
        <v>77.2</v>
      </c>
    </row>
    <row r="36" spans="1:13" x14ac:dyDescent="0.25">
      <c r="A36" t="s">
        <v>1</v>
      </c>
      <c r="B36" t="s">
        <v>50</v>
      </c>
      <c r="C36">
        <v>9420</v>
      </c>
      <c r="D36">
        <v>310</v>
      </c>
      <c r="E36">
        <v>205</v>
      </c>
      <c r="F36">
        <v>16.3</v>
      </c>
      <c r="G36">
        <v>9.4</v>
      </c>
      <c r="H36">
        <v>163</v>
      </c>
      <c r="I36">
        <v>1050</v>
      </c>
      <c r="J36">
        <v>132</v>
      </c>
      <c r="K36">
        <v>23.4</v>
      </c>
      <c r="L36">
        <v>228</v>
      </c>
      <c r="M36">
        <v>49.8</v>
      </c>
    </row>
    <row r="37" spans="1:13" x14ac:dyDescent="0.25">
      <c r="A37" t="s">
        <v>1</v>
      </c>
      <c r="B37" t="s">
        <v>51</v>
      </c>
      <c r="C37">
        <v>7550</v>
      </c>
      <c r="D37">
        <v>302</v>
      </c>
      <c r="E37">
        <v>203</v>
      </c>
      <c r="F37">
        <v>13.1</v>
      </c>
      <c r="G37">
        <v>7.49</v>
      </c>
      <c r="H37">
        <v>128</v>
      </c>
      <c r="I37">
        <v>844</v>
      </c>
      <c r="J37">
        <v>130</v>
      </c>
      <c r="K37">
        <v>18.399999999999999</v>
      </c>
      <c r="L37">
        <v>180</v>
      </c>
      <c r="M37">
        <v>49.3</v>
      </c>
    </row>
    <row r="38" spans="1:13" x14ac:dyDescent="0.25">
      <c r="A38" t="s">
        <v>1</v>
      </c>
      <c r="B38" t="s">
        <v>52</v>
      </c>
      <c r="C38">
        <v>6650</v>
      </c>
      <c r="D38">
        <v>318</v>
      </c>
      <c r="E38">
        <v>167</v>
      </c>
      <c r="F38">
        <v>13.2</v>
      </c>
      <c r="G38">
        <v>7.62</v>
      </c>
      <c r="H38">
        <v>119</v>
      </c>
      <c r="I38">
        <v>747</v>
      </c>
      <c r="J38">
        <v>133</v>
      </c>
      <c r="K38">
        <v>10.199999999999999</v>
      </c>
      <c r="L38">
        <v>122</v>
      </c>
      <c r="M38">
        <v>39.1</v>
      </c>
    </row>
    <row r="39" spans="1:13" x14ac:dyDescent="0.25">
      <c r="A39" t="s">
        <v>1</v>
      </c>
      <c r="B39" t="s">
        <v>53</v>
      </c>
      <c r="C39">
        <v>5670</v>
      </c>
      <c r="D39">
        <v>312</v>
      </c>
      <c r="E39">
        <v>166</v>
      </c>
      <c r="F39">
        <v>11.2</v>
      </c>
      <c r="G39">
        <v>6.6</v>
      </c>
      <c r="H39">
        <v>99.1</v>
      </c>
      <c r="I39">
        <v>633</v>
      </c>
      <c r="J39">
        <v>132</v>
      </c>
      <c r="K39">
        <v>8.4499999999999993</v>
      </c>
      <c r="L39">
        <v>102</v>
      </c>
      <c r="M39">
        <v>38.6</v>
      </c>
    </row>
    <row r="40" spans="1:13" x14ac:dyDescent="0.25">
      <c r="A40" t="s">
        <v>1</v>
      </c>
      <c r="B40" t="s">
        <v>54</v>
      </c>
      <c r="C40">
        <v>4940</v>
      </c>
      <c r="D40">
        <v>310</v>
      </c>
      <c r="E40">
        <v>165</v>
      </c>
      <c r="F40">
        <v>9.65</v>
      </c>
      <c r="G40">
        <v>5.84</v>
      </c>
      <c r="H40">
        <v>84.9</v>
      </c>
      <c r="I40">
        <v>547</v>
      </c>
      <c r="J40">
        <v>131</v>
      </c>
      <c r="K40">
        <v>7.2</v>
      </c>
      <c r="L40">
        <v>87.5</v>
      </c>
      <c r="M40">
        <v>38.4</v>
      </c>
    </row>
    <row r="41" spans="1:13" x14ac:dyDescent="0.25">
      <c r="A41" t="s">
        <v>1</v>
      </c>
      <c r="B41" t="s">
        <v>55</v>
      </c>
      <c r="C41">
        <v>4180</v>
      </c>
      <c r="D41">
        <v>312</v>
      </c>
      <c r="E41">
        <v>102</v>
      </c>
      <c r="F41">
        <v>10.8</v>
      </c>
      <c r="G41">
        <v>6.6</v>
      </c>
      <c r="H41">
        <v>64.900000000000006</v>
      </c>
      <c r="I41">
        <v>416</v>
      </c>
      <c r="J41">
        <v>125</v>
      </c>
      <c r="K41">
        <v>1.94</v>
      </c>
      <c r="L41">
        <v>37.9</v>
      </c>
      <c r="M41">
        <v>21.5</v>
      </c>
    </row>
    <row r="42" spans="1:13" x14ac:dyDescent="0.25">
      <c r="A42" t="s">
        <v>1</v>
      </c>
      <c r="B42" t="s">
        <v>56</v>
      </c>
      <c r="C42">
        <v>3040</v>
      </c>
      <c r="D42">
        <v>305</v>
      </c>
      <c r="E42">
        <v>101</v>
      </c>
      <c r="F42">
        <v>6.73</v>
      </c>
      <c r="G42">
        <v>5.59</v>
      </c>
      <c r="H42">
        <v>42.9</v>
      </c>
      <c r="I42">
        <v>280</v>
      </c>
      <c r="J42">
        <v>119</v>
      </c>
      <c r="K42">
        <v>1.17</v>
      </c>
      <c r="L42">
        <v>23.1</v>
      </c>
      <c r="M42">
        <v>19.600000000000001</v>
      </c>
    </row>
    <row r="43" spans="1:13" x14ac:dyDescent="0.25">
      <c r="A43" t="s">
        <v>1</v>
      </c>
      <c r="B43" t="s">
        <v>57</v>
      </c>
      <c r="C43">
        <v>21200</v>
      </c>
      <c r="D43">
        <v>290</v>
      </c>
      <c r="E43">
        <v>264</v>
      </c>
      <c r="F43">
        <v>31.8</v>
      </c>
      <c r="G43">
        <v>19.2</v>
      </c>
      <c r="H43">
        <v>298</v>
      </c>
      <c r="I43">
        <v>2060</v>
      </c>
      <c r="J43">
        <v>118</v>
      </c>
      <c r="K43">
        <v>98.2</v>
      </c>
      <c r="L43">
        <v>742</v>
      </c>
      <c r="M43">
        <v>68.099999999999994</v>
      </c>
    </row>
    <row r="44" spans="1:13" x14ac:dyDescent="0.25">
      <c r="A44" t="s">
        <v>1</v>
      </c>
      <c r="B44" t="s">
        <v>58</v>
      </c>
      <c r="C44">
        <v>12900</v>
      </c>
      <c r="D44">
        <v>264</v>
      </c>
      <c r="E44">
        <v>257</v>
      </c>
      <c r="F44">
        <v>19.600000000000001</v>
      </c>
      <c r="G44">
        <v>11.9</v>
      </c>
      <c r="H44">
        <v>164</v>
      </c>
      <c r="I44">
        <v>1240</v>
      </c>
      <c r="J44">
        <v>113</v>
      </c>
      <c r="K44">
        <v>55.8</v>
      </c>
      <c r="L44">
        <v>433</v>
      </c>
      <c r="M44">
        <v>65.8</v>
      </c>
    </row>
    <row r="45" spans="1:13" x14ac:dyDescent="0.25">
      <c r="A45" t="s">
        <v>1</v>
      </c>
      <c r="B45" t="s">
        <v>59</v>
      </c>
      <c r="C45">
        <v>10200</v>
      </c>
      <c r="D45">
        <v>257</v>
      </c>
      <c r="E45">
        <v>254</v>
      </c>
      <c r="F45">
        <v>15.6</v>
      </c>
      <c r="G45">
        <v>9.4</v>
      </c>
      <c r="H45">
        <v>126</v>
      </c>
      <c r="I45">
        <v>983</v>
      </c>
      <c r="J45">
        <v>111</v>
      </c>
      <c r="K45">
        <v>42.9</v>
      </c>
      <c r="L45">
        <v>338</v>
      </c>
      <c r="M45">
        <v>65</v>
      </c>
    </row>
    <row r="46" spans="1:13" x14ac:dyDescent="0.25">
      <c r="A46" t="s">
        <v>1</v>
      </c>
      <c r="B46" t="s">
        <v>60</v>
      </c>
      <c r="C46">
        <v>8580</v>
      </c>
      <c r="D46">
        <v>257</v>
      </c>
      <c r="E46">
        <v>204</v>
      </c>
      <c r="F46">
        <v>15.7</v>
      </c>
      <c r="G46">
        <v>8.89</v>
      </c>
      <c r="H46">
        <v>103</v>
      </c>
      <c r="I46">
        <v>805</v>
      </c>
      <c r="J46">
        <v>110</v>
      </c>
      <c r="K46">
        <v>22.2</v>
      </c>
      <c r="L46">
        <v>218</v>
      </c>
      <c r="M46">
        <v>51.1</v>
      </c>
    </row>
    <row r="47" spans="1:13" x14ac:dyDescent="0.25">
      <c r="A47" t="s">
        <v>1</v>
      </c>
      <c r="B47" t="s">
        <v>61</v>
      </c>
      <c r="C47">
        <v>7420</v>
      </c>
      <c r="D47">
        <v>252</v>
      </c>
      <c r="E47">
        <v>203</v>
      </c>
      <c r="F47">
        <v>13.5</v>
      </c>
      <c r="G47">
        <v>8</v>
      </c>
      <c r="H47">
        <v>87</v>
      </c>
      <c r="I47">
        <v>690</v>
      </c>
      <c r="J47">
        <v>108</v>
      </c>
      <c r="K47">
        <v>18.7</v>
      </c>
      <c r="L47">
        <v>185</v>
      </c>
      <c r="M47">
        <v>50.3</v>
      </c>
    </row>
    <row r="48" spans="1:13" x14ac:dyDescent="0.25">
      <c r="A48" t="s">
        <v>1</v>
      </c>
      <c r="B48" t="s">
        <v>62</v>
      </c>
      <c r="C48">
        <v>6260</v>
      </c>
      <c r="D48">
        <v>247</v>
      </c>
      <c r="E48">
        <v>202</v>
      </c>
      <c r="F48">
        <v>11</v>
      </c>
      <c r="G48">
        <v>7.37</v>
      </c>
      <c r="H48">
        <v>71.2</v>
      </c>
      <c r="I48">
        <v>574</v>
      </c>
      <c r="J48">
        <v>106</v>
      </c>
      <c r="K48">
        <v>15.2</v>
      </c>
      <c r="L48">
        <v>151</v>
      </c>
      <c r="M48">
        <v>49.3</v>
      </c>
    </row>
    <row r="49" spans="1:13" x14ac:dyDescent="0.25">
      <c r="A49" t="s">
        <v>1</v>
      </c>
      <c r="B49" t="s">
        <v>63</v>
      </c>
      <c r="C49">
        <v>5700</v>
      </c>
      <c r="D49">
        <v>267</v>
      </c>
      <c r="E49">
        <v>148</v>
      </c>
      <c r="F49">
        <v>13</v>
      </c>
      <c r="G49">
        <v>7.62</v>
      </c>
      <c r="H49">
        <v>70.8</v>
      </c>
      <c r="I49">
        <v>531</v>
      </c>
      <c r="J49">
        <v>111</v>
      </c>
      <c r="K49">
        <v>6.95</v>
      </c>
      <c r="L49">
        <v>94.2</v>
      </c>
      <c r="M49">
        <v>34.799999999999997</v>
      </c>
    </row>
    <row r="50" spans="1:13" x14ac:dyDescent="0.25">
      <c r="A50" t="s">
        <v>1</v>
      </c>
      <c r="B50" t="s">
        <v>64</v>
      </c>
      <c r="C50">
        <v>4190</v>
      </c>
      <c r="D50">
        <v>259</v>
      </c>
      <c r="E50">
        <v>146</v>
      </c>
      <c r="F50">
        <v>9.14</v>
      </c>
      <c r="G50">
        <v>6.1</v>
      </c>
      <c r="H50">
        <v>49.1</v>
      </c>
      <c r="I50">
        <v>380</v>
      </c>
      <c r="J50">
        <v>108</v>
      </c>
      <c r="K50">
        <v>4.75</v>
      </c>
      <c r="L50">
        <v>65.099999999999994</v>
      </c>
      <c r="M50">
        <v>33.799999999999997</v>
      </c>
    </row>
    <row r="51" spans="1:13" x14ac:dyDescent="0.25">
      <c r="A51" t="s">
        <v>1</v>
      </c>
      <c r="B51" t="s">
        <v>65</v>
      </c>
      <c r="C51">
        <v>3630</v>
      </c>
      <c r="D51">
        <v>259</v>
      </c>
      <c r="E51">
        <v>102</v>
      </c>
      <c r="F51">
        <v>10</v>
      </c>
      <c r="G51">
        <v>6.35</v>
      </c>
      <c r="H51">
        <v>40.1</v>
      </c>
      <c r="I51">
        <v>308</v>
      </c>
      <c r="J51">
        <v>105</v>
      </c>
      <c r="K51">
        <v>1.79</v>
      </c>
      <c r="L51">
        <v>35.1</v>
      </c>
      <c r="M51">
        <v>22.2</v>
      </c>
    </row>
    <row r="52" spans="1:13" x14ac:dyDescent="0.25">
      <c r="A52" t="s">
        <v>1</v>
      </c>
      <c r="B52" t="s">
        <v>66</v>
      </c>
      <c r="C52">
        <v>2850</v>
      </c>
      <c r="D52">
        <v>254</v>
      </c>
      <c r="E52">
        <v>102</v>
      </c>
      <c r="F52">
        <v>6.86</v>
      </c>
      <c r="G52">
        <v>5.84</v>
      </c>
      <c r="H52">
        <v>28.7</v>
      </c>
      <c r="I52">
        <v>226</v>
      </c>
      <c r="J52">
        <v>100</v>
      </c>
      <c r="K52">
        <v>1.2</v>
      </c>
      <c r="L52">
        <v>23.8</v>
      </c>
      <c r="M52">
        <v>20.6</v>
      </c>
    </row>
    <row r="53" spans="1:13" x14ac:dyDescent="0.25">
      <c r="A53" t="s">
        <v>1</v>
      </c>
      <c r="B53" t="s">
        <v>67</v>
      </c>
      <c r="C53">
        <v>11000</v>
      </c>
      <c r="D53">
        <v>222</v>
      </c>
      <c r="E53">
        <v>209</v>
      </c>
      <c r="F53">
        <v>20.6</v>
      </c>
      <c r="G53">
        <v>13</v>
      </c>
      <c r="H53">
        <v>94.9</v>
      </c>
      <c r="I53">
        <v>852</v>
      </c>
      <c r="J53">
        <v>92.7</v>
      </c>
      <c r="K53">
        <v>31.3</v>
      </c>
      <c r="L53">
        <v>300</v>
      </c>
      <c r="M53">
        <v>53.3</v>
      </c>
    </row>
    <row r="54" spans="1:13" x14ac:dyDescent="0.25">
      <c r="A54" t="s">
        <v>1</v>
      </c>
      <c r="B54" t="s">
        <v>68</v>
      </c>
      <c r="C54">
        <v>9100</v>
      </c>
      <c r="D54">
        <v>216</v>
      </c>
      <c r="E54">
        <v>206</v>
      </c>
      <c r="F54">
        <v>17.399999999999999</v>
      </c>
      <c r="G54">
        <v>10.199999999999999</v>
      </c>
      <c r="H54">
        <v>76.599999999999994</v>
      </c>
      <c r="I54">
        <v>708</v>
      </c>
      <c r="J54">
        <v>91.7</v>
      </c>
      <c r="K54">
        <v>25.3</v>
      </c>
      <c r="L54">
        <v>246</v>
      </c>
      <c r="M54">
        <v>52.8</v>
      </c>
    </row>
    <row r="55" spans="1:13" x14ac:dyDescent="0.25">
      <c r="A55" t="s">
        <v>1</v>
      </c>
      <c r="B55" t="s">
        <v>69</v>
      </c>
      <c r="C55">
        <v>7550</v>
      </c>
      <c r="D55">
        <v>210</v>
      </c>
      <c r="E55">
        <v>205</v>
      </c>
      <c r="F55">
        <v>14.2</v>
      </c>
      <c r="G55">
        <v>9.14</v>
      </c>
      <c r="H55">
        <v>60.8</v>
      </c>
      <c r="I55">
        <v>582</v>
      </c>
      <c r="J55">
        <v>89.7</v>
      </c>
      <c r="K55">
        <v>20.399999999999999</v>
      </c>
      <c r="L55">
        <v>200</v>
      </c>
      <c r="M55">
        <v>51.8</v>
      </c>
    </row>
    <row r="56" spans="1:13" x14ac:dyDescent="0.25">
      <c r="A56" t="s">
        <v>1</v>
      </c>
      <c r="B56" t="s">
        <v>70</v>
      </c>
      <c r="C56">
        <v>6650</v>
      </c>
      <c r="D56">
        <v>206</v>
      </c>
      <c r="E56">
        <v>204</v>
      </c>
      <c r="F56">
        <v>12.6</v>
      </c>
      <c r="G56">
        <v>7.87</v>
      </c>
      <c r="H56">
        <v>52.9</v>
      </c>
      <c r="I56">
        <v>511</v>
      </c>
      <c r="J56">
        <v>89.2</v>
      </c>
      <c r="K56">
        <v>17.7</v>
      </c>
      <c r="L56">
        <v>174</v>
      </c>
      <c r="M56">
        <v>51.6</v>
      </c>
    </row>
    <row r="57" spans="1:13" x14ac:dyDescent="0.25">
      <c r="A57" t="s">
        <v>1</v>
      </c>
      <c r="B57" t="s">
        <v>71</v>
      </c>
      <c r="C57">
        <v>5880</v>
      </c>
      <c r="D57">
        <v>203</v>
      </c>
      <c r="E57">
        <v>203</v>
      </c>
      <c r="F57">
        <v>11</v>
      </c>
      <c r="G57">
        <v>7.24</v>
      </c>
      <c r="H57">
        <v>45.8</v>
      </c>
      <c r="I57">
        <v>451</v>
      </c>
      <c r="J57">
        <v>88.1</v>
      </c>
      <c r="K57">
        <v>15.4</v>
      </c>
      <c r="L57">
        <v>152</v>
      </c>
      <c r="M57">
        <v>51.3</v>
      </c>
    </row>
    <row r="58" spans="1:13" x14ac:dyDescent="0.25">
      <c r="A58" t="s">
        <v>1</v>
      </c>
      <c r="B58" t="s">
        <v>72</v>
      </c>
      <c r="C58">
        <v>5320</v>
      </c>
      <c r="D58">
        <v>205</v>
      </c>
      <c r="E58">
        <v>166</v>
      </c>
      <c r="F58">
        <v>11.8</v>
      </c>
      <c r="G58">
        <v>7.24</v>
      </c>
      <c r="H58">
        <v>40.799999999999997</v>
      </c>
      <c r="I58">
        <v>398</v>
      </c>
      <c r="J58">
        <v>87.6</v>
      </c>
      <c r="K58">
        <v>9.0299999999999994</v>
      </c>
      <c r="L58">
        <v>109</v>
      </c>
      <c r="M58">
        <v>41.1</v>
      </c>
    </row>
    <row r="59" spans="1:13" x14ac:dyDescent="0.25">
      <c r="A59" t="s">
        <v>1</v>
      </c>
      <c r="B59" t="s">
        <v>73</v>
      </c>
      <c r="C59">
        <v>4570</v>
      </c>
      <c r="D59">
        <v>201</v>
      </c>
      <c r="E59">
        <v>165</v>
      </c>
      <c r="F59">
        <v>10.199999999999999</v>
      </c>
      <c r="G59">
        <v>6.22</v>
      </c>
      <c r="H59">
        <v>34.4</v>
      </c>
      <c r="I59">
        <v>342</v>
      </c>
      <c r="J59">
        <v>86.9</v>
      </c>
      <c r="K59">
        <v>7.62</v>
      </c>
      <c r="L59">
        <v>92.3</v>
      </c>
      <c r="M59">
        <v>40.9</v>
      </c>
    </row>
    <row r="60" spans="1:13" x14ac:dyDescent="0.25">
      <c r="A60" t="s">
        <v>1</v>
      </c>
      <c r="B60" t="s">
        <v>74</v>
      </c>
      <c r="C60">
        <v>3970</v>
      </c>
      <c r="D60">
        <v>210</v>
      </c>
      <c r="E60">
        <v>134</v>
      </c>
      <c r="F60">
        <v>10.199999999999999</v>
      </c>
      <c r="G60">
        <v>6.35</v>
      </c>
      <c r="H60">
        <v>31.3</v>
      </c>
      <c r="I60">
        <v>298</v>
      </c>
      <c r="J60">
        <v>88.6</v>
      </c>
      <c r="K60">
        <v>4.07</v>
      </c>
      <c r="L60">
        <v>60.8</v>
      </c>
      <c r="M60">
        <v>32</v>
      </c>
    </row>
    <row r="61" spans="1:13" x14ac:dyDescent="0.25">
      <c r="A61" t="s">
        <v>1</v>
      </c>
      <c r="B61" t="s">
        <v>75</v>
      </c>
      <c r="C61">
        <v>3390</v>
      </c>
      <c r="D61">
        <v>207</v>
      </c>
      <c r="E61">
        <v>133</v>
      </c>
      <c r="F61">
        <v>8.3800000000000008</v>
      </c>
      <c r="G61">
        <v>5.84</v>
      </c>
      <c r="H61">
        <v>25.8</v>
      </c>
      <c r="I61">
        <v>249</v>
      </c>
      <c r="J61">
        <v>87.1</v>
      </c>
      <c r="K61">
        <v>3.32</v>
      </c>
      <c r="L61">
        <v>49.8</v>
      </c>
      <c r="M61">
        <v>31.2</v>
      </c>
    </row>
    <row r="62" spans="1:13" x14ac:dyDescent="0.25">
      <c r="A62" t="s">
        <v>1</v>
      </c>
      <c r="B62" t="s">
        <v>76</v>
      </c>
      <c r="C62">
        <v>2860</v>
      </c>
      <c r="D62">
        <v>206</v>
      </c>
      <c r="E62">
        <v>102</v>
      </c>
      <c r="F62">
        <v>8</v>
      </c>
      <c r="G62">
        <v>6.22</v>
      </c>
      <c r="H62">
        <v>20</v>
      </c>
      <c r="I62">
        <v>193</v>
      </c>
      <c r="J62">
        <v>83.6</v>
      </c>
      <c r="K62">
        <v>1.42</v>
      </c>
      <c r="L62">
        <v>27.9</v>
      </c>
      <c r="M62">
        <v>22.3</v>
      </c>
    </row>
    <row r="63" spans="1:13" x14ac:dyDescent="0.25">
      <c r="A63" t="s">
        <v>1</v>
      </c>
      <c r="B63" t="s">
        <v>77</v>
      </c>
      <c r="C63">
        <v>2480</v>
      </c>
      <c r="D63">
        <v>203</v>
      </c>
      <c r="E63">
        <v>102</v>
      </c>
      <c r="F63">
        <v>6.48</v>
      </c>
      <c r="G63">
        <v>5.84</v>
      </c>
      <c r="H63">
        <v>16.5</v>
      </c>
      <c r="I63">
        <v>162</v>
      </c>
      <c r="J63">
        <v>81.5</v>
      </c>
      <c r="K63">
        <v>1.1399999999999999</v>
      </c>
      <c r="L63">
        <v>22.5</v>
      </c>
      <c r="M63">
        <v>21.4</v>
      </c>
    </row>
    <row r="64" spans="1:13" x14ac:dyDescent="0.25">
      <c r="A64" t="s">
        <v>1</v>
      </c>
      <c r="B64" t="s">
        <v>78</v>
      </c>
      <c r="C64">
        <v>4740</v>
      </c>
      <c r="D64">
        <v>162</v>
      </c>
      <c r="E64">
        <v>154</v>
      </c>
      <c r="F64">
        <v>11.6</v>
      </c>
      <c r="G64">
        <v>8.1300000000000008</v>
      </c>
      <c r="H64">
        <v>22.2</v>
      </c>
      <c r="I64">
        <v>274</v>
      </c>
      <c r="J64">
        <v>68.599999999999994</v>
      </c>
      <c r="K64">
        <v>7.12</v>
      </c>
      <c r="L64">
        <v>91.9</v>
      </c>
      <c r="M64">
        <v>38.6</v>
      </c>
    </row>
    <row r="65" spans="1:13" x14ac:dyDescent="0.25">
      <c r="A65" t="s">
        <v>1</v>
      </c>
      <c r="B65" t="s">
        <v>79</v>
      </c>
      <c r="C65">
        <v>3790</v>
      </c>
      <c r="D65">
        <v>157</v>
      </c>
      <c r="E65">
        <v>153</v>
      </c>
      <c r="F65">
        <v>9.27</v>
      </c>
      <c r="G65">
        <v>6.6</v>
      </c>
      <c r="H65">
        <v>17.2</v>
      </c>
      <c r="I65">
        <v>220</v>
      </c>
      <c r="J65">
        <v>67.599999999999994</v>
      </c>
      <c r="K65">
        <v>5.54</v>
      </c>
      <c r="L65">
        <v>72.3</v>
      </c>
      <c r="M65">
        <v>38.1</v>
      </c>
    </row>
    <row r="66" spans="1:13" x14ac:dyDescent="0.25">
      <c r="A66" t="s">
        <v>1</v>
      </c>
      <c r="B66" t="s">
        <v>80</v>
      </c>
      <c r="C66">
        <v>3060</v>
      </c>
      <c r="D66">
        <v>160</v>
      </c>
      <c r="E66">
        <v>102</v>
      </c>
      <c r="F66">
        <v>10.3</v>
      </c>
      <c r="G66">
        <v>6.6</v>
      </c>
      <c r="H66">
        <v>13.4</v>
      </c>
      <c r="I66">
        <v>167</v>
      </c>
      <c r="J66">
        <v>66</v>
      </c>
      <c r="K66">
        <v>1.84</v>
      </c>
      <c r="L66">
        <v>36.1</v>
      </c>
      <c r="M66">
        <v>24.6</v>
      </c>
    </row>
    <row r="67" spans="1:13" x14ac:dyDescent="0.25">
      <c r="A67" t="s">
        <v>1</v>
      </c>
      <c r="B67" t="s">
        <v>81</v>
      </c>
      <c r="C67">
        <v>2290</v>
      </c>
      <c r="D67">
        <v>153</v>
      </c>
      <c r="E67">
        <v>102</v>
      </c>
      <c r="F67">
        <v>7.11</v>
      </c>
      <c r="G67">
        <v>5.84</v>
      </c>
      <c r="H67">
        <v>9.1999999999999993</v>
      </c>
      <c r="I67">
        <v>120</v>
      </c>
      <c r="J67">
        <v>63.2</v>
      </c>
      <c r="K67">
        <v>1.24</v>
      </c>
      <c r="L67">
        <v>24.6</v>
      </c>
      <c r="M67">
        <v>23.3</v>
      </c>
    </row>
    <row r="68" spans="1:13" x14ac:dyDescent="0.25">
      <c r="A68" t="s">
        <v>1</v>
      </c>
      <c r="B68" t="s">
        <v>82</v>
      </c>
      <c r="C68">
        <v>1730</v>
      </c>
      <c r="D68">
        <v>150</v>
      </c>
      <c r="E68">
        <v>100</v>
      </c>
      <c r="F68">
        <v>5.46</v>
      </c>
      <c r="G68">
        <v>4.32</v>
      </c>
      <c r="H68">
        <v>6.83</v>
      </c>
      <c r="I68">
        <v>91.1</v>
      </c>
      <c r="J68">
        <v>62.7</v>
      </c>
      <c r="K68">
        <v>0.91600000000000004</v>
      </c>
      <c r="L68">
        <v>18.2</v>
      </c>
      <c r="M68">
        <v>23</v>
      </c>
    </row>
    <row r="69" spans="1:13" x14ac:dyDescent="0.25">
      <c r="A69" t="s">
        <v>1</v>
      </c>
      <c r="B69" t="s">
        <v>83</v>
      </c>
      <c r="C69">
        <v>3590</v>
      </c>
      <c r="D69">
        <v>131</v>
      </c>
      <c r="E69">
        <v>128</v>
      </c>
      <c r="F69">
        <v>10.9</v>
      </c>
      <c r="G69">
        <v>6.86</v>
      </c>
      <c r="H69">
        <v>10.9</v>
      </c>
      <c r="I69">
        <v>167</v>
      </c>
      <c r="J69">
        <v>55.1</v>
      </c>
      <c r="K69">
        <v>3.8</v>
      </c>
      <c r="L69">
        <v>59.5</v>
      </c>
      <c r="M69">
        <v>32.5</v>
      </c>
    </row>
    <row r="70" spans="1:13" x14ac:dyDescent="0.25">
      <c r="A70" t="s">
        <v>1</v>
      </c>
      <c r="B70" t="s">
        <v>84</v>
      </c>
      <c r="C70">
        <v>3040</v>
      </c>
      <c r="D70">
        <v>127</v>
      </c>
      <c r="E70">
        <v>127</v>
      </c>
      <c r="F70">
        <v>9.14</v>
      </c>
      <c r="G70">
        <v>6.1</v>
      </c>
      <c r="H70">
        <v>8.91</v>
      </c>
      <c r="I70">
        <v>140</v>
      </c>
      <c r="J70">
        <v>54.1</v>
      </c>
      <c r="K70">
        <v>3.13</v>
      </c>
      <c r="L70">
        <v>49.2</v>
      </c>
      <c r="M70">
        <v>32</v>
      </c>
    </row>
    <row r="71" spans="1:13" x14ac:dyDescent="0.25">
      <c r="A71" t="s">
        <v>1</v>
      </c>
      <c r="B71" t="s">
        <v>85</v>
      </c>
      <c r="C71">
        <v>2470</v>
      </c>
      <c r="D71">
        <v>106</v>
      </c>
      <c r="E71">
        <v>103</v>
      </c>
      <c r="F71">
        <v>8.76</v>
      </c>
      <c r="G71">
        <v>7.11</v>
      </c>
      <c r="H71">
        <v>4.7</v>
      </c>
      <c r="I71">
        <v>89.5</v>
      </c>
      <c r="J71">
        <v>43.7</v>
      </c>
      <c r="K71">
        <v>1.61</v>
      </c>
      <c r="L71">
        <v>31.1</v>
      </c>
      <c r="M71">
        <v>25.4</v>
      </c>
    </row>
    <row r="72" spans="1:13" x14ac:dyDescent="0.25">
      <c r="A72" t="s">
        <v>86</v>
      </c>
      <c r="B72" t="s">
        <v>87</v>
      </c>
      <c r="C72">
        <v>88.8</v>
      </c>
      <c r="D72">
        <v>37.299999999999997</v>
      </c>
      <c r="E72">
        <v>16.7</v>
      </c>
      <c r="F72">
        <v>1.68</v>
      </c>
      <c r="G72">
        <v>0.94499999999999995</v>
      </c>
      <c r="H72">
        <v>21100</v>
      </c>
      <c r="I72">
        <v>1130</v>
      </c>
      <c r="J72">
        <v>15.4</v>
      </c>
      <c r="K72">
        <v>1300</v>
      </c>
      <c r="L72">
        <v>156</v>
      </c>
      <c r="M72">
        <v>3.82</v>
      </c>
    </row>
    <row r="73" spans="1:13" x14ac:dyDescent="0.25">
      <c r="A73" t="s">
        <v>86</v>
      </c>
      <c r="B73" t="s">
        <v>88</v>
      </c>
      <c r="C73">
        <v>39.700000000000003</v>
      </c>
      <c r="D73">
        <v>35.6</v>
      </c>
      <c r="E73">
        <v>12</v>
      </c>
      <c r="F73">
        <v>0.79</v>
      </c>
      <c r="G73">
        <v>0.6</v>
      </c>
      <c r="H73">
        <v>7800</v>
      </c>
      <c r="I73">
        <v>439</v>
      </c>
      <c r="J73">
        <v>14</v>
      </c>
      <c r="K73">
        <v>225</v>
      </c>
      <c r="L73">
        <v>37.700000000000003</v>
      </c>
      <c r="M73">
        <v>2.38</v>
      </c>
    </row>
    <row r="74" spans="1:13" x14ac:dyDescent="0.25">
      <c r="A74" t="s">
        <v>86</v>
      </c>
      <c r="B74" t="s">
        <v>89</v>
      </c>
      <c r="C74">
        <v>59.2</v>
      </c>
      <c r="D74">
        <v>33.700000000000003</v>
      </c>
      <c r="E74">
        <v>15.7</v>
      </c>
      <c r="F74">
        <v>1.1499999999999999</v>
      </c>
      <c r="G74">
        <v>0.71499999999999997</v>
      </c>
      <c r="H74">
        <v>11600</v>
      </c>
      <c r="I74">
        <v>686</v>
      </c>
      <c r="J74">
        <v>14</v>
      </c>
      <c r="K74">
        <v>749</v>
      </c>
      <c r="L74">
        <v>95.2</v>
      </c>
      <c r="M74">
        <v>3.56</v>
      </c>
    </row>
    <row r="75" spans="1:13" x14ac:dyDescent="0.25">
      <c r="A75" t="s">
        <v>86</v>
      </c>
      <c r="B75" t="s">
        <v>90</v>
      </c>
      <c r="C75">
        <v>34.700000000000003</v>
      </c>
      <c r="D75">
        <v>32.9</v>
      </c>
      <c r="E75">
        <v>11.5</v>
      </c>
      <c r="F75">
        <v>0.74</v>
      </c>
      <c r="G75">
        <v>0.55000000000000004</v>
      </c>
      <c r="H75">
        <v>5900</v>
      </c>
      <c r="I75">
        <v>359</v>
      </c>
      <c r="J75">
        <v>13</v>
      </c>
      <c r="K75">
        <v>187</v>
      </c>
      <c r="L75">
        <v>32.6</v>
      </c>
      <c r="M75">
        <v>2.3199999999999998</v>
      </c>
    </row>
    <row r="76" spans="1:13" x14ac:dyDescent="0.25">
      <c r="A76" t="s">
        <v>86</v>
      </c>
      <c r="B76" t="s">
        <v>91</v>
      </c>
      <c r="C76">
        <v>51</v>
      </c>
      <c r="D76">
        <v>30.4</v>
      </c>
      <c r="E76">
        <v>15</v>
      </c>
      <c r="F76">
        <v>1.07</v>
      </c>
      <c r="G76">
        <v>0.65500000000000003</v>
      </c>
      <c r="H76">
        <v>8230</v>
      </c>
      <c r="I76">
        <v>541</v>
      </c>
      <c r="J76">
        <v>12.7</v>
      </c>
      <c r="K76">
        <v>598</v>
      </c>
      <c r="L76">
        <v>79.8</v>
      </c>
      <c r="M76">
        <v>3.42</v>
      </c>
    </row>
    <row r="77" spans="1:13" x14ac:dyDescent="0.25">
      <c r="A77" t="s">
        <v>86</v>
      </c>
      <c r="B77" t="s">
        <v>92</v>
      </c>
      <c r="C77">
        <v>29.1</v>
      </c>
      <c r="D77">
        <v>29.7</v>
      </c>
      <c r="E77">
        <v>10.5</v>
      </c>
      <c r="F77">
        <v>0.67</v>
      </c>
      <c r="G77">
        <v>0.52</v>
      </c>
      <c r="H77">
        <v>3990</v>
      </c>
      <c r="I77">
        <v>269</v>
      </c>
      <c r="J77">
        <v>11.7</v>
      </c>
      <c r="K77">
        <v>128</v>
      </c>
      <c r="L77">
        <v>24.5</v>
      </c>
      <c r="M77">
        <v>2.1</v>
      </c>
    </row>
    <row r="78" spans="1:13" x14ac:dyDescent="0.25">
      <c r="A78" t="s">
        <v>86</v>
      </c>
      <c r="B78" t="s">
        <v>93</v>
      </c>
      <c r="C78">
        <v>43.1</v>
      </c>
      <c r="D78">
        <v>27.4</v>
      </c>
      <c r="E78">
        <v>14</v>
      </c>
      <c r="F78">
        <v>0.97499999999999998</v>
      </c>
      <c r="G78">
        <v>0.60499999999999998</v>
      </c>
      <c r="H78">
        <v>5660</v>
      </c>
      <c r="I78">
        <v>414</v>
      </c>
      <c r="J78">
        <v>11.5</v>
      </c>
      <c r="K78">
        <v>443</v>
      </c>
      <c r="L78">
        <v>63.5</v>
      </c>
      <c r="M78">
        <v>3.2</v>
      </c>
    </row>
    <row r="79" spans="1:13" x14ac:dyDescent="0.25">
      <c r="A79" t="s">
        <v>86</v>
      </c>
      <c r="B79" t="s">
        <v>94</v>
      </c>
      <c r="C79">
        <v>24.8</v>
      </c>
      <c r="D79">
        <v>26.7</v>
      </c>
      <c r="E79">
        <v>10</v>
      </c>
      <c r="F79">
        <v>0.64</v>
      </c>
      <c r="G79">
        <v>0.46</v>
      </c>
      <c r="H79">
        <v>2850</v>
      </c>
      <c r="I79">
        <v>213</v>
      </c>
      <c r="J79">
        <v>10.7</v>
      </c>
      <c r="K79">
        <v>106</v>
      </c>
      <c r="L79">
        <v>21.2</v>
      </c>
      <c r="M79">
        <v>2.0699999999999998</v>
      </c>
    </row>
    <row r="80" spans="1:13" x14ac:dyDescent="0.25">
      <c r="A80" t="s">
        <v>86</v>
      </c>
      <c r="B80" t="s">
        <v>95</v>
      </c>
      <c r="C80">
        <v>30.6</v>
      </c>
      <c r="D80">
        <v>24.1</v>
      </c>
      <c r="E80">
        <v>12.8</v>
      </c>
      <c r="F80">
        <v>0.75</v>
      </c>
      <c r="G80">
        <v>0.5</v>
      </c>
      <c r="H80">
        <v>3100</v>
      </c>
      <c r="I80">
        <v>258</v>
      </c>
      <c r="J80">
        <v>10.1</v>
      </c>
      <c r="K80">
        <v>259</v>
      </c>
      <c r="L80">
        <v>40.700000000000003</v>
      </c>
      <c r="M80">
        <v>2.91</v>
      </c>
    </row>
    <row r="81" spans="1:13" x14ac:dyDescent="0.25">
      <c r="A81" t="s">
        <v>86</v>
      </c>
      <c r="B81" t="s">
        <v>96</v>
      </c>
      <c r="C81">
        <v>20.100000000000001</v>
      </c>
      <c r="D81">
        <v>23.7</v>
      </c>
      <c r="E81">
        <v>8.9700000000000006</v>
      </c>
      <c r="F81">
        <v>0.58499999999999996</v>
      </c>
      <c r="G81">
        <v>0.41499999999999998</v>
      </c>
      <c r="H81">
        <v>1830</v>
      </c>
      <c r="I81">
        <v>154</v>
      </c>
      <c r="J81">
        <v>9.5500000000000007</v>
      </c>
      <c r="K81">
        <v>70.400000000000006</v>
      </c>
      <c r="L81">
        <v>15.7</v>
      </c>
      <c r="M81">
        <v>1.87</v>
      </c>
    </row>
    <row r="82" spans="1:13" x14ac:dyDescent="0.25">
      <c r="A82" t="s">
        <v>86</v>
      </c>
      <c r="B82" t="s">
        <v>97</v>
      </c>
      <c r="C82">
        <v>29.8</v>
      </c>
      <c r="D82">
        <v>21.4</v>
      </c>
      <c r="E82">
        <v>12.3</v>
      </c>
      <c r="F82">
        <v>0.8</v>
      </c>
      <c r="G82">
        <v>0.5</v>
      </c>
      <c r="H82">
        <v>2420</v>
      </c>
      <c r="I82">
        <v>227</v>
      </c>
      <c r="J82">
        <v>9.02</v>
      </c>
      <c r="K82">
        <v>248</v>
      </c>
      <c r="L82">
        <v>40.299999999999997</v>
      </c>
      <c r="M82">
        <v>2.89</v>
      </c>
    </row>
    <row r="83" spans="1:13" x14ac:dyDescent="0.25">
      <c r="A83" t="s">
        <v>86</v>
      </c>
      <c r="B83" t="s">
        <v>98</v>
      </c>
      <c r="C83">
        <v>18.3</v>
      </c>
      <c r="D83">
        <v>21</v>
      </c>
      <c r="E83">
        <v>8.24</v>
      </c>
      <c r="F83">
        <v>0.61499999999999999</v>
      </c>
      <c r="G83">
        <v>0.4</v>
      </c>
      <c r="H83">
        <v>1330</v>
      </c>
      <c r="I83">
        <v>127</v>
      </c>
      <c r="J83">
        <v>8.5399999999999991</v>
      </c>
      <c r="K83">
        <v>57.5</v>
      </c>
      <c r="L83">
        <v>14</v>
      </c>
      <c r="M83">
        <v>1.77</v>
      </c>
    </row>
    <row r="84" spans="1:13" x14ac:dyDescent="0.25">
      <c r="A84" t="s">
        <v>86</v>
      </c>
      <c r="B84" t="s">
        <v>99</v>
      </c>
      <c r="C84">
        <v>13</v>
      </c>
      <c r="D84">
        <v>20.7</v>
      </c>
      <c r="E84">
        <v>6.5</v>
      </c>
      <c r="F84">
        <v>0.45</v>
      </c>
      <c r="G84">
        <v>0.35</v>
      </c>
      <c r="H84">
        <v>843</v>
      </c>
      <c r="I84">
        <v>81.599999999999994</v>
      </c>
      <c r="J84">
        <v>8.06</v>
      </c>
      <c r="K84">
        <v>20.7</v>
      </c>
      <c r="L84">
        <v>6.37</v>
      </c>
      <c r="M84">
        <v>1.26</v>
      </c>
    </row>
    <row r="85" spans="1:13" x14ac:dyDescent="0.25">
      <c r="A85" t="s">
        <v>86</v>
      </c>
      <c r="B85" t="s">
        <v>100</v>
      </c>
      <c r="C85">
        <v>31.1</v>
      </c>
      <c r="D85">
        <v>18.7</v>
      </c>
      <c r="E85">
        <v>11.2</v>
      </c>
      <c r="F85">
        <v>0.94</v>
      </c>
      <c r="G85">
        <v>0.59</v>
      </c>
      <c r="H85">
        <v>1910</v>
      </c>
      <c r="I85">
        <v>204</v>
      </c>
      <c r="J85">
        <v>7.84</v>
      </c>
      <c r="K85">
        <v>220</v>
      </c>
      <c r="L85">
        <v>39.4</v>
      </c>
      <c r="M85">
        <v>2.66</v>
      </c>
    </row>
    <row r="86" spans="1:13" x14ac:dyDescent="0.25">
      <c r="A86" t="s">
        <v>86</v>
      </c>
      <c r="B86" t="s">
        <v>101</v>
      </c>
      <c r="C86">
        <v>22.3</v>
      </c>
      <c r="D86">
        <v>18.2</v>
      </c>
      <c r="E86">
        <v>11</v>
      </c>
      <c r="F86">
        <v>0.68</v>
      </c>
      <c r="G86">
        <v>0.42499999999999999</v>
      </c>
      <c r="H86">
        <v>1330</v>
      </c>
      <c r="I86">
        <v>146</v>
      </c>
      <c r="J86">
        <v>7.73</v>
      </c>
      <c r="K86">
        <v>152</v>
      </c>
      <c r="L86">
        <v>27.6</v>
      </c>
      <c r="M86">
        <v>2.61</v>
      </c>
    </row>
    <row r="87" spans="1:13" x14ac:dyDescent="0.25">
      <c r="A87" t="s">
        <v>86</v>
      </c>
      <c r="B87" t="s">
        <v>102</v>
      </c>
      <c r="C87">
        <v>14.7</v>
      </c>
      <c r="D87">
        <v>18</v>
      </c>
      <c r="E87">
        <v>7.5</v>
      </c>
      <c r="F87">
        <v>0.56999999999999995</v>
      </c>
      <c r="G87">
        <v>0.35499999999999998</v>
      </c>
      <c r="H87">
        <v>800</v>
      </c>
      <c r="I87">
        <v>88.9</v>
      </c>
      <c r="J87">
        <v>7.38</v>
      </c>
      <c r="K87">
        <v>40.1</v>
      </c>
      <c r="L87">
        <v>10.7</v>
      </c>
      <c r="M87">
        <v>1.65</v>
      </c>
    </row>
    <row r="88" spans="1:13" x14ac:dyDescent="0.25">
      <c r="A88" t="s">
        <v>86</v>
      </c>
      <c r="B88" t="s">
        <v>103</v>
      </c>
      <c r="C88">
        <v>10.3</v>
      </c>
      <c r="D88">
        <v>17.7</v>
      </c>
      <c r="E88">
        <v>6</v>
      </c>
      <c r="F88">
        <v>0.42499999999999999</v>
      </c>
      <c r="G88">
        <v>0.3</v>
      </c>
      <c r="H88">
        <v>510</v>
      </c>
      <c r="I88">
        <v>57.6</v>
      </c>
      <c r="J88">
        <v>7.04</v>
      </c>
      <c r="K88">
        <v>15.3</v>
      </c>
      <c r="L88">
        <v>5.12</v>
      </c>
      <c r="M88">
        <v>1.22</v>
      </c>
    </row>
    <row r="89" spans="1:13" x14ac:dyDescent="0.25">
      <c r="A89" t="s">
        <v>86</v>
      </c>
      <c r="B89" t="s">
        <v>104</v>
      </c>
      <c r="C89">
        <v>22.6</v>
      </c>
      <c r="D89">
        <v>16.5</v>
      </c>
      <c r="E89">
        <v>10.3</v>
      </c>
      <c r="F89">
        <v>0.76</v>
      </c>
      <c r="G89">
        <v>0.45500000000000002</v>
      </c>
      <c r="H89">
        <v>1110</v>
      </c>
      <c r="I89">
        <v>134</v>
      </c>
      <c r="J89">
        <v>7</v>
      </c>
      <c r="K89">
        <v>138</v>
      </c>
      <c r="L89">
        <v>26.9</v>
      </c>
      <c r="M89">
        <v>2.4700000000000002</v>
      </c>
    </row>
    <row r="90" spans="1:13" x14ac:dyDescent="0.25">
      <c r="A90" t="s">
        <v>86</v>
      </c>
      <c r="B90" t="s">
        <v>105</v>
      </c>
      <c r="C90">
        <v>16.8</v>
      </c>
      <c r="D90">
        <v>16.399999999999999</v>
      </c>
      <c r="E90">
        <v>7.12</v>
      </c>
      <c r="F90">
        <v>0.71499999999999997</v>
      </c>
      <c r="G90">
        <v>0.43</v>
      </c>
      <c r="H90">
        <v>758</v>
      </c>
      <c r="I90">
        <v>92.2</v>
      </c>
      <c r="J90">
        <v>6.72</v>
      </c>
      <c r="K90">
        <v>43.1</v>
      </c>
      <c r="L90">
        <v>12.1</v>
      </c>
      <c r="M90">
        <v>1.6</v>
      </c>
    </row>
    <row r="91" spans="1:13" x14ac:dyDescent="0.25">
      <c r="A91" t="s">
        <v>86</v>
      </c>
      <c r="B91" t="s">
        <v>106</v>
      </c>
      <c r="C91">
        <v>11.8</v>
      </c>
      <c r="D91">
        <v>16</v>
      </c>
      <c r="E91">
        <v>7</v>
      </c>
      <c r="F91">
        <v>0.505</v>
      </c>
      <c r="G91">
        <v>0.30499999999999999</v>
      </c>
      <c r="H91">
        <v>518</v>
      </c>
      <c r="I91">
        <v>64.7</v>
      </c>
      <c r="J91">
        <v>6.63</v>
      </c>
      <c r="K91">
        <v>28.9</v>
      </c>
      <c r="L91">
        <v>8.25</v>
      </c>
      <c r="M91">
        <v>1.57</v>
      </c>
    </row>
    <row r="92" spans="1:13" x14ac:dyDescent="0.25">
      <c r="A92" t="s">
        <v>86</v>
      </c>
      <c r="B92" t="s">
        <v>107</v>
      </c>
      <c r="C92">
        <v>9.1300000000000008</v>
      </c>
      <c r="D92">
        <v>15.9</v>
      </c>
      <c r="E92">
        <v>5.53</v>
      </c>
      <c r="F92">
        <v>0.44</v>
      </c>
      <c r="G92">
        <v>0.27500000000000002</v>
      </c>
      <c r="H92">
        <v>375</v>
      </c>
      <c r="I92">
        <v>47.2</v>
      </c>
      <c r="J92">
        <v>6.41</v>
      </c>
      <c r="K92">
        <v>12.4</v>
      </c>
      <c r="L92">
        <v>4.49</v>
      </c>
      <c r="M92">
        <v>1.17</v>
      </c>
    </row>
    <row r="93" spans="1:13" x14ac:dyDescent="0.25">
      <c r="A93" t="s">
        <v>86</v>
      </c>
      <c r="B93" t="s">
        <v>108</v>
      </c>
      <c r="C93">
        <v>7.68</v>
      </c>
      <c r="D93">
        <v>15.7</v>
      </c>
      <c r="E93">
        <v>5.5</v>
      </c>
      <c r="F93">
        <v>0.34499999999999997</v>
      </c>
      <c r="G93">
        <v>0.25</v>
      </c>
      <c r="H93">
        <v>301</v>
      </c>
      <c r="I93">
        <v>38.4</v>
      </c>
      <c r="J93">
        <v>6.26</v>
      </c>
      <c r="K93">
        <v>9.59</v>
      </c>
      <c r="L93">
        <v>3.49</v>
      </c>
      <c r="M93">
        <v>1.1200000000000001</v>
      </c>
    </row>
    <row r="94" spans="1:13" x14ac:dyDescent="0.25">
      <c r="A94" t="s">
        <v>86</v>
      </c>
      <c r="B94" t="s">
        <v>109</v>
      </c>
      <c r="C94">
        <v>109</v>
      </c>
      <c r="D94">
        <v>17.899999999999999</v>
      </c>
      <c r="E94">
        <v>16.5</v>
      </c>
      <c r="F94">
        <v>2.66</v>
      </c>
      <c r="G94">
        <v>1.66</v>
      </c>
      <c r="H94">
        <v>5440</v>
      </c>
      <c r="I94">
        <v>607</v>
      </c>
      <c r="J94">
        <v>7.07</v>
      </c>
      <c r="K94">
        <v>1990</v>
      </c>
      <c r="L94">
        <v>241</v>
      </c>
      <c r="M94">
        <v>4.2699999999999996</v>
      </c>
    </row>
    <row r="95" spans="1:13" x14ac:dyDescent="0.25">
      <c r="A95" t="s">
        <v>86</v>
      </c>
      <c r="B95" t="s">
        <v>110</v>
      </c>
      <c r="C95">
        <v>42.7</v>
      </c>
      <c r="D95">
        <v>14.8</v>
      </c>
      <c r="E95">
        <v>15.5</v>
      </c>
      <c r="F95">
        <v>1.0900000000000001</v>
      </c>
      <c r="G95">
        <v>0.68</v>
      </c>
      <c r="H95">
        <v>1710</v>
      </c>
      <c r="I95">
        <v>232</v>
      </c>
      <c r="J95">
        <v>6.33</v>
      </c>
      <c r="K95">
        <v>677</v>
      </c>
      <c r="L95">
        <v>87.3</v>
      </c>
      <c r="M95">
        <v>3.98</v>
      </c>
    </row>
    <row r="96" spans="1:13" x14ac:dyDescent="0.25">
      <c r="A96" t="s">
        <v>86</v>
      </c>
      <c r="B96" t="s">
        <v>111</v>
      </c>
      <c r="C96">
        <v>24</v>
      </c>
      <c r="D96">
        <v>14.3</v>
      </c>
      <c r="E96">
        <v>10.1</v>
      </c>
      <c r="F96">
        <v>0.85499999999999998</v>
      </c>
      <c r="G96">
        <v>0.51</v>
      </c>
      <c r="H96">
        <v>881</v>
      </c>
      <c r="I96">
        <v>123</v>
      </c>
      <c r="J96">
        <v>6.05</v>
      </c>
      <c r="K96">
        <v>148</v>
      </c>
      <c r="L96">
        <v>29.3</v>
      </c>
      <c r="M96">
        <v>2.48</v>
      </c>
    </row>
    <row r="97" spans="1:13" x14ac:dyDescent="0.25">
      <c r="A97" t="s">
        <v>86</v>
      </c>
      <c r="B97" t="s">
        <v>112</v>
      </c>
      <c r="C97">
        <v>20</v>
      </c>
      <c r="D97">
        <v>14</v>
      </c>
      <c r="E97">
        <v>10</v>
      </c>
      <c r="F97">
        <v>0.72</v>
      </c>
      <c r="G97">
        <v>0.41499999999999998</v>
      </c>
      <c r="H97">
        <v>722</v>
      </c>
      <c r="I97">
        <v>103</v>
      </c>
      <c r="J97">
        <v>6.01</v>
      </c>
      <c r="K97">
        <v>121</v>
      </c>
      <c r="L97">
        <v>24.2</v>
      </c>
      <c r="M97">
        <v>2.46</v>
      </c>
    </row>
    <row r="98" spans="1:13" x14ac:dyDescent="0.25">
      <c r="A98" t="s">
        <v>86</v>
      </c>
      <c r="B98" t="s">
        <v>113</v>
      </c>
      <c r="C98">
        <v>15.6</v>
      </c>
      <c r="D98">
        <v>13.9</v>
      </c>
      <c r="E98">
        <v>8.06</v>
      </c>
      <c r="F98">
        <v>0.66</v>
      </c>
      <c r="G98">
        <v>0.37</v>
      </c>
      <c r="H98">
        <v>541</v>
      </c>
      <c r="I98">
        <v>77.8</v>
      </c>
      <c r="J98">
        <v>5.89</v>
      </c>
      <c r="K98">
        <v>57.7</v>
      </c>
      <c r="L98">
        <v>14.3</v>
      </c>
      <c r="M98">
        <v>1.92</v>
      </c>
    </row>
    <row r="99" spans="1:13" x14ac:dyDescent="0.25">
      <c r="A99" t="s">
        <v>86</v>
      </c>
      <c r="B99" t="s">
        <v>114</v>
      </c>
      <c r="C99">
        <v>12.6</v>
      </c>
      <c r="D99">
        <v>13.7</v>
      </c>
      <c r="E99">
        <v>8</v>
      </c>
      <c r="F99">
        <v>0.53</v>
      </c>
      <c r="G99">
        <v>0.30499999999999999</v>
      </c>
      <c r="H99">
        <v>428</v>
      </c>
      <c r="I99">
        <v>62.6</v>
      </c>
      <c r="J99">
        <v>5.82</v>
      </c>
      <c r="K99">
        <v>45.2</v>
      </c>
      <c r="L99">
        <v>11.3</v>
      </c>
      <c r="M99">
        <v>1.89</v>
      </c>
    </row>
    <row r="100" spans="1:13" x14ac:dyDescent="0.25">
      <c r="A100" t="s">
        <v>86</v>
      </c>
      <c r="B100" t="s">
        <v>115</v>
      </c>
      <c r="C100">
        <v>11.2</v>
      </c>
      <c r="D100">
        <v>14.1</v>
      </c>
      <c r="E100">
        <v>6.77</v>
      </c>
      <c r="F100">
        <v>0.51500000000000001</v>
      </c>
      <c r="G100">
        <v>0.31</v>
      </c>
      <c r="H100">
        <v>385</v>
      </c>
      <c r="I100">
        <v>54.6</v>
      </c>
      <c r="J100">
        <v>5.87</v>
      </c>
      <c r="K100">
        <v>26.7</v>
      </c>
      <c r="L100">
        <v>7.88</v>
      </c>
      <c r="M100">
        <v>1.55</v>
      </c>
    </row>
    <row r="101" spans="1:13" x14ac:dyDescent="0.25">
      <c r="A101" t="s">
        <v>86</v>
      </c>
      <c r="B101" t="s">
        <v>116</v>
      </c>
      <c r="C101">
        <v>8.85</v>
      </c>
      <c r="D101">
        <v>13.8</v>
      </c>
      <c r="E101">
        <v>6.73</v>
      </c>
      <c r="F101">
        <v>0.38500000000000001</v>
      </c>
      <c r="G101">
        <v>0.27</v>
      </c>
      <c r="H101">
        <v>291</v>
      </c>
      <c r="I101">
        <v>42</v>
      </c>
      <c r="J101">
        <v>5.73</v>
      </c>
      <c r="K101">
        <v>19.600000000000001</v>
      </c>
      <c r="L101">
        <v>5.82</v>
      </c>
      <c r="M101">
        <v>1.49</v>
      </c>
    </row>
    <row r="102" spans="1:13" x14ac:dyDescent="0.25">
      <c r="A102" t="s">
        <v>86</v>
      </c>
      <c r="B102" t="s">
        <v>117</v>
      </c>
      <c r="C102">
        <v>7.69</v>
      </c>
      <c r="D102">
        <v>13.9</v>
      </c>
      <c r="E102">
        <v>5.03</v>
      </c>
      <c r="F102">
        <v>0.42</v>
      </c>
      <c r="G102">
        <v>0.255</v>
      </c>
      <c r="H102">
        <v>245</v>
      </c>
      <c r="I102">
        <v>35.299999999999997</v>
      </c>
      <c r="J102">
        <v>5.65</v>
      </c>
      <c r="K102">
        <v>8.91</v>
      </c>
      <c r="L102">
        <v>3.55</v>
      </c>
      <c r="M102">
        <v>1.08</v>
      </c>
    </row>
    <row r="103" spans="1:13" x14ac:dyDescent="0.25">
      <c r="A103" t="s">
        <v>86</v>
      </c>
      <c r="B103" t="s">
        <v>118</v>
      </c>
      <c r="C103">
        <v>6.49</v>
      </c>
      <c r="D103">
        <v>13.7</v>
      </c>
      <c r="E103">
        <v>5</v>
      </c>
      <c r="F103">
        <v>0.33500000000000002</v>
      </c>
      <c r="G103">
        <v>0.23</v>
      </c>
      <c r="H103">
        <v>199</v>
      </c>
      <c r="I103">
        <v>29</v>
      </c>
      <c r="J103">
        <v>5.54</v>
      </c>
      <c r="K103">
        <v>7</v>
      </c>
      <c r="L103">
        <v>2.8</v>
      </c>
      <c r="M103">
        <v>1.04</v>
      </c>
    </row>
    <row r="104" spans="1:13" x14ac:dyDescent="0.25">
      <c r="A104" t="s">
        <v>86</v>
      </c>
      <c r="B104" t="s">
        <v>119</v>
      </c>
      <c r="C104">
        <v>28.2</v>
      </c>
      <c r="D104">
        <v>12.7</v>
      </c>
      <c r="E104">
        <v>12.2</v>
      </c>
      <c r="F104">
        <v>0.9</v>
      </c>
      <c r="G104">
        <v>0.55000000000000004</v>
      </c>
      <c r="H104">
        <v>833</v>
      </c>
      <c r="I104">
        <v>131</v>
      </c>
      <c r="J104">
        <v>5.44</v>
      </c>
      <c r="K104">
        <v>270</v>
      </c>
      <c r="L104">
        <v>44.4</v>
      </c>
      <c r="M104">
        <v>3.09</v>
      </c>
    </row>
    <row r="105" spans="1:13" x14ac:dyDescent="0.25">
      <c r="A105" t="s">
        <v>86</v>
      </c>
      <c r="B105" t="s">
        <v>120</v>
      </c>
      <c r="C105">
        <v>21.1</v>
      </c>
      <c r="D105">
        <v>12.3</v>
      </c>
      <c r="E105">
        <v>12</v>
      </c>
      <c r="F105">
        <v>0.67</v>
      </c>
      <c r="G105">
        <v>0.43</v>
      </c>
      <c r="H105">
        <v>597</v>
      </c>
      <c r="I105">
        <v>97.4</v>
      </c>
      <c r="J105">
        <v>5.31</v>
      </c>
      <c r="K105">
        <v>195</v>
      </c>
      <c r="L105">
        <v>32.4</v>
      </c>
      <c r="M105">
        <v>3.04</v>
      </c>
    </row>
    <row r="106" spans="1:13" x14ac:dyDescent="0.25">
      <c r="A106" t="s">
        <v>86</v>
      </c>
      <c r="B106" t="s">
        <v>121</v>
      </c>
      <c r="C106">
        <v>14.6</v>
      </c>
      <c r="D106">
        <v>12.2</v>
      </c>
      <c r="E106">
        <v>8.08</v>
      </c>
      <c r="F106">
        <v>0.64</v>
      </c>
      <c r="G106">
        <v>0.37</v>
      </c>
      <c r="H106">
        <v>391</v>
      </c>
      <c r="I106">
        <v>64.2</v>
      </c>
      <c r="J106">
        <v>5.18</v>
      </c>
      <c r="K106">
        <v>56.3</v>
      </c>
      <c r="L106">
        <v>13.9</v>
      </c>
      <c r="M106">
        <v>1.96</v>
      </c>
    </row>
    <row r="107" spans="1:13" x14ac:dyDescent="0.25">
      <c r="A107" t="s">
        <v>86</v>
      </c>
      <c r="B107" t="s">
        <v>122</v>
      </c>
      <c r="C107">
        <v>11.7</v>
      </c>
      <c r="D107">
        <v>11.9</v>
      </c>
      <c r="E107">
        <v>8.01</v>
      </c>
      <c r="F107">
        <v>0.51500000000000001</v>
      </c>
      <c r="G107">
        <v>0.29499999999999998</v>
      </c>
      <c r="H107">
        <v>307</v>
      </c>
      <c r="I107">
        <v>51.5</v>
      </c>
      <c r="J107">
        <v>5.13</v>
      </c>
      <c r="K107">
        <v>44.1</v>
      </c>
      <c r="L107">
        <v>11</v>
      </c>
      <c r="M107">
        <v>1.94</v>
      </c>
    </row>
    <row r="108" spans="1:13" x14ac:dyDescent="0.25">
      <c r="A108" t="s">
        <v>86</v>
      </c>
      <c r="B108" t="s">
        <v>123</v>
      </c>
      <c r="C108">
        <v>10.3</v>
      </c>
      <c r="D108">
        <v>12.5</v>
      </c>
      <c r="E108">
        <v>6.56</v>
      </c>
      <c r="F108">
        <v>0.52</v>
      </c>
      <c r="G108">
        <v>0.3</v>
      </c>
      <c r="H108">
        <v>285</v>
      </c>
      <c r="I108">
        <v>45.6</v>
      </c>
      <c r="J108">
        <v>5.25</v>
      </c>
      <c r="K108">
        <v>24.5</v>
      </c>
      <c r="L108">
        <v>7.47</v>
      </c>
      <c r="M108">
        <v>1.54</v>
      </c>
    </row>
    <row r="109" spans="1:13" x14ac:dyDescent="0.25">
      <c r="A109" t="s">
        <v>86</v>
      </c>
      <c r="B109" t="s">
        <v>124</v>
      </c>
      <c r="C109">
        <v>8.7899999999999991</v>
      </c>
      <c r="D109">
        <v>12.3</v>
      </c>
      <c r="E109">
        <v>6.52</v>
      </c>
      <c r="F109">
        <v>0.44</v>
      </c>
      <c r="G109">
        <v>0.26</v>
      </c>
      <c r="H109">
        <v>238</v>
      </c>
      <c r="I109">
        <v>38.6</v>
      </c>
      <c r="J109">
        <v>5.21</v>
      </c>
      <c r="K109">
        <v>20.3</v>
      </c>
      <c r="L109">
        <v>6.24</v>
      </c>
      <c r="M109">
        <v>1.52</v>
      </c>
    </row>
    <row r="110" spans="1:13" x14ac:dyDescent="0.25">
      <c r="A110" t="s">
        <v>86</v>
      </c>
      <c r="B110" t="s">
        <v>125</v>
      </c>
      <c r="C110">
        <v>7.65</v>
      </c>
      <c r="D110">
        <v>12.2</v>
      </c>
      <c r="E110">
        <v>6.49</v>
      </c>
      <c r="F110">
        <v>0.38</v>
      </c>
      <c r="G110">
        <v>0.23</v>
      </c>
      <c r="H110">
        <v>204</v>
      </c>
      <c r="I110">
        <v>33.4</v>
      </c>
      <c r="J110">
        <v>5.17</v>
      </c>
      <c r="K110">
        <v>17.3</v>
      </c>
      <c r="L110">
        <v>5.34</v>
      </c>
      <c r="M110">
        <v>1.51</v>
      </c>
    </row>
    <row r="111" spans="1:13" x14ac:dyDescent="0.25">
      <c r="A111" t="s">
        <v>86</v>
      </c>
      <c r="B111" t="s">
        <v>126</v>
      </c>
      <c r="C111">
        <v>6.48</v>
      </c>
      <c r="D111">
        <v>12.3</v>
      </c>
      <c r="E111">
        <v>4.03</v>
      </c>
      <c r="F111">
        <v>0.42499999999999999</v>
      </c>
      <c r="G111">
        <v>0.26</v>
      </c>
      <c r="H111">
        <v>156</v>
      </c>
      <c r="I111">
        <v>25.4</v>
      </c>
      <c r="J111">
        <v>4.91</v>
      </c>
      <c r="K111">
        <v>4.66</v>
      </c>
      <c r="L111">
        <v>2.31</v>
      </c>
      <c r="M111">
        <v>0.84799999999999998</v>
      </c>
    </row>
    <row r="112" spans="1:13" x14ac:dyDescent="0.25">
      <c r="A112" t="s">
        <v>86</v>
      </c>
      <c r="B112" t="s">
        <v>127</v>
      </c>
      <c r="C112">
        <v>4.71</v>
      </c>
      <c r="D112">
        <v>12</v>
      </c>
      <c r="E112">
        <v>3.99</v>
      </c>
      <c r="F112">
        <v>0.26500000000000001</v>
      </c>
      <c r="G112">
        <v>0.22</v>
      </c>
      <c r="H112">
        <v>103</v>
      </c>
      <c r="I112">
        <v>17.100000000000001</v>
      </c>
      <c r="J112">
        <v>4.67</v>
      </c>
      <c r="K112">
        <v>2.82</v>
      </c>
      <c r="L112">
        <v>1.41</v>
      </c>
      <c r="M112">
        <v>0.77300000000000002</v>
      </c>
    </row>
    <row r="113" spans="1:13" x14ac:dyDescent="0.25">
      <c r="A113" t="s">
        <v>86</v>
      </c>
      <c r="B113" t="s">
        <v>128</v>
      </c>
      <c r="C113">
        <v>32.9</v>
      </c>
      <c r="D113">
        <v>11.4</v>
      </c>
      <c r="E113">
        <v>10.4</v>
      </c>
      <c r="F113">
        <v>1.25</v>
      </c>
      <c r="G113">
        <v>0.755</v>
      </c>
      <c r="H113">
        <v>716</v>
      </c>
      <c r="I113">
        <v>126</v>
      </c>
      <c r="J113">
        <v>4.66</v>
      </c>
      <c r="K113">
        <v>236</v>
      </c>
      <c r="L113">
        <v>45.3</v>
      </c>
      <c r="M113">
        <v>2.68</v>
      </c>
    </row>
    <row r="114" spans="1:13" x14ac:dyDescent="0.25">
      <c r="A114" t="s">
        <v>86</v>
      </c>
      <c r="B114" t="s">
        <v>129</v>
      </c>
      <c r="C114">
        <v>20</v>
      </c>
      <c r="D114">
        <v>10.4</v>
      </c>
      <c r="E114">
        <v>10.1</v>
      </c>
      <c r="F114">
        <v>0.77</v>
      </c>
      <c r="G114">
        <v>0.47</v>
      </c>
      <c r="H114">
        <v>394</v>
      </c>
      <c r="I114">
        <v>75.7</v>
      </c>
      <c r="J114">
        <v>4.4400000000000004</v>
      </c>
      <c r="K114">
        <v>134</v>
      </c>
      <c r="L114">
        <v>26.4</v>
      </c>
      <c r="M114">
        <v>2.59</v>
      </c>
    </row>
    <row r="115" spans="1:13" x14ac:dyDescent="0.25">
      <c r="A115" t="s">
        <v>86</v>
      </c>
      <c r="B115" t="s">
        <v>130</v>
      </c>
      <c r="C115">
        <v>15.8</v>
      </c>
      <c r="D115">
        <v>10.1</v>
      </c>
      <c r="E115">
        <v>10</v>
      </c>
      <c r="F115">
        <v>0.61499999999999999</v>
      </c>
      <c r="G115">
        <v>0.37</v>
      </c>
      <c r="H115">
        <v>303</v>
      </c>
      <c r="I115">
        <v>60</v>
      </c>
      <c r="J115">
        <v>4.37</v>
      </c>
      <c r="K115">
        <v>103</v>
      </c>
      <c r="L115">
        <v>20.6</v>
      </c>
      <c r="M115">
        <v>2.56</v>
      </c>
    </row>
    <row r="116" spans="1:13" x14ac:dyDescent="0.25">
      <c r="A116" t="s">
        <v>86</v>
      </c>
      <c r="B116" t="s">
        <v>131</v>
      </c>
      <c r="C116">
        <v>13.3</v>
      </c>
      <c r="D116">
        <v>10.1</v>
      </c>
      <c r="E116">
        <v>8.02</v>
      </c>
      <c r="F116">
        <v>0.62</v>
      </c>
      <c r="G116">
        <v>0.35</v>
      </c>
      <c r="H116">
        <v>248</v>
      </c>
      <c r="I116">
        <v>49.1</v>
      </c>
      <c r="J116">
        <v>4.32</v>
      </c>
      <c r="K116">
        <v>53.4</v>
      </c>
      <c r="L116">
        <v>13.3</v>
      </c>
      <c r="M116">
        <v>2.0099999999999998</v>
      </c>
    </row>
    <row r="117" spans="1:13" x14ac:dyDescent="0.25">
      <c r="A117" t="s">
        <v>86</v>
      </c>
      <c r="B117" t="s">
        <v>132</v>
      </c>
      <c r="C117">
        <v>11.5</v>
      </c>
      <c r="D117">
        <v>9.92</v>
      </c>
      <c r="E117">
        <v>7.99</v>
      </c>
      <c r="F117">
        <v>0.53</v>
      </c>
      <c r="G117">
        <v>0.315</v>
      </c>
      <c r="H117">
        <v>209</v>
      </c>
      <c r="I117">
        <v>42.1</v>
      </c>
      <c r="J117">
        <v>4.2699999999999996</v>
      </c>
      <c r="K117">
        <v>45</v>
      </c>
      <c r="L117">
        <v>11.3</v>
      </c>
      <c r="M117">
        <v>1.98</v>
      </c>
    </row>
    <row r="118" spans="1:13" x14ac:dyDescent="0.25">
      <c r="A118" t="s">
        <v>86</v>
      </c>
      <c r="B118" t="s">
        <v>133</v>
      </c>
      <c r="C118">
        <v>9.7100000000000009</v>
      </c>
      <c r="D118">
        <v>9.73</v>
      </c>
      <c r="E118">
        <v>7.96</v>
      </c>
      <c r="F118">
        <v>0.435</v>
      </c>
      <c r="G118">
        <v>0.28999999999999998</v>
      </c>
      <c r="H118">
        <v>171</v>
      </c>
      <c r="I118">
        <v>35</v>
      </c>
      <c r="J118">
        <v>4.1900000000000004</v>
      </c>
      <c r="K118">
        <v>36.6</v>
      </c>
      <c r="L118">
        <v>9.1999999999999993</v>
      </c>
      <c r="M118">
        <v>1.94</v>
      </c>
    </row>
    <row r="119" spans="1:13" x14ac:dyDescent="0.25">
      <c r="A119" t="s">
        <v>86</v>
      </c>
      <c r="B119" t="s">
        <v>134</v>
      </c>
      <c r="C119">
        <v>8.84</v>
      </c>
      <c r="D119">
        <v>10.5</v>
      </c>
      <c r="E119">
        <v>5.81</v>
      </c>
      <c r="F119">
        <v>0.51</v>
      </c>
      <c r="G119">
        <v>0.3</v>
      </c>
      <c r="H119">
        <v>170</v>
      </c>
      <c r="I119">
        <v>32.4</v>
      </c>
      <c r="J119">
        <v>4.38</v>
      </c>
      <c r="K119">
        <v>16.7</v>
      </c>
      <c r="L119">
        <v>5.75</v>
      </c>
      <c r="M119">
        <v>1.37</v>
      </c>
    </row>
    <row r="120" spans="1:13" x14ac:dyDescent="0.25">
      <c r="A120" t="s">
        <v>86</v>
      </c>
      <c r="B120" t="s">
        <v>135</v>
      </c>
      <c r="C120">
        <v>6.49</v>
      </c>
      <c r="D120">
        <v>10.199999999999999</v>
      </c>
      <c r="E120">
        <v>5.75</v>
      </c>
      <c r="F120">
        <v>0.36</v>
      </c>
      <c r="G120">
        <v>0.24</v>
      </c>
      <c r="H120">
        <v>118</v>
      </c>
      <c r="I120">
        <v>23.2</v>
      </c>
      <c r="J120">
        <v>4.2699999999999996</v>
      </c>
      <c r="K120">
        <v>11.4</v>
      </c>
      <c r="L120">
        <v>3.97</v>
      </c>
      <c r="M120">
        <v>1.33</v>
      </c>
    </row>
    <row r="121" spans="1:13" x14ac:dyDescent="0.25">
      <c r="A121" t="s">
        <v>86</v>
      </c>
      <c r="B121" t="s">
        <v>136</v>
      </c>
      <c r="C121">
        <v>5.62</v>
      </c>
      <c r="D121">
        <v>10.199999999999999</v>
      </c>
      <c r="E121">
        <v>4.0199999999999996</v>
      </c>
      <c r="F121">
        <v>0.39500000000000002</v>
      </c>
      <c r="G121">
        <v>0.25</v>
      </c>
      <c r="H121">
        <v>96.3</v>
      </c>
      <c r="I121">
        <v>18.8</v>
      </c>
      <c r="J121">
        <v>4.1399999999999997</v>
      </c>
      <c r="K121">
        <v>4.29</v>
      </c>
      <c r="L121">
        <v>2.14</v>
      </c>
      <c r="M121">
        <v>0.874</v>
      </c>
    </row>
    <row r="122" spans="1:13" x14ac:dyDescent="0.25">
      <c r="A122" t="s">
        <v>86</v>
      </c>
      <c r="B122" t="s">
        <v>137</v>
      </c>
      <c r="C122">
        <v>4.41</v>
      </c>
      <c r="D122">
        <v>10</v>
      </c>
      <c r="E122">
        <v>4</v>
      </c>
      <c r="F122">
        <v>0.27</v>
      </c>
      <c r="G122">
        <v>0.23</v>
      </c>
      <c r="H122">
        <v>68.900000000000006</v>
      </c>
      <c r="I122">
        <v>13.8</v>
      </c>
      <c r="J122">
        <v>3.95</v>
      </c>
      <c r="K122">
        <v>2.89</v>
      </c>
      <c r="L122">
        <v>1.45</v>
      </c>
      <c r="M122">
        <v>0.81</v>
      </c>
    </row>
    <row r="123" spans="1:13" x14ac:dyDescent="0.25">
      <c r="A123" t="s">
        <v>86</v>
      </c>
      <c r="B123" t="s">
        <v>138</v>
      </c>
      <c r="C123">
        <v>17.100000000000001</v>
      </c>
      <c r="D123">
        <v>8.75</v>
      </c>
      <c r="E123">
        <v>8.2200000000000006</v>
      </c>
      <c r="F123">
        <v>0.81</v>
      </c>
      <c r="G123">
        <v>0.51</v>
      </c>
      <c r="H123">
        <v>228</v>
      </c>
      <c r="I123">
        <v>52</v>
      </c>
      <c r="J123">
        <v>3.65</v>
      </c>
      <c r="K123">
        <v>75.099999999999994</v>
      </c>
      <c r="L123">
        <v>18.3</v>
      </c>
      <c r="M123">
        <v>2.1</v>
      </c>
    </row>
    <row r="124" spans="1:13" x14ac:dyDescent="0.25">
      <c r="A124" t="s">
        <v>86</v>
      </c>
      <c r="B124" t="s">
        <v>139</v>
      </c>
      <c r="C124">
        <v>14.1</v>
      </c>
      <c r="D124">
        <v>8.5</v>
      </c>
      <c r="E124">
        <v>8.11</v>
      </c>
      <c r="F124">
        <v>0.68500000000000005</v>
      </c>
      <c r="G124">
        <v>0.4</v>
      </c>
      <c r="H124">
        <v>184</v>
      </c>
      <c r="I124">
        <v>43.2</v>
      </c>
      <c r="J124">
        <v>3.61</v>
      </c>
      <c r="K124">
        <v>60.9</v>
      </c>
      <c r="L124">
        <v>15</v>
      </c>
      <c r="M124">
        <v>2.08</v>
      </c>
    </row>
    <row r="125" spans="1:13" x14ac:dyDescent="0.25">
      <c r="A125" t="s">
        <v>86</v>
      </c>
      <c r="B125" t="s">
        <v>140</v>
      </c>
      <c r="C125">
        <v>11.7</v>
      </c>
      <c r="D125">
        <v>8.25</v>
      </c>
      <c r="E125">
        <v>8.07</v>
      </c>
      <c r="F125">
        <v>0.56000000000000005</v>
      </c>
      <c r="G125">
        <v>0.36</v>
      </c>
      <c r="H125">
        <v>146</v>
      </c>
      <c r="I125">
        <v>35.5</v>
      </c>
      <c r="J125">
        <v>3.53</v>
      </c>
      <c r="K125">
        <v>49.1</v>
      </c>
      <c r="L125">
        <v>12.2</v>
      </c>
      <c r="M125">
        <v>2.04</v>
      </c>
    </row>
    <row r="126" spans="1:13" x14ac:dyDescent="0.25">
      <c r="A126" t="s">
        <v>86</v>
      </c>
      <c r="B126" t="s">
        <v>141</v>
      </c>
      <c r="C126">
        <v>10.3</v>
      </c>
      <c r="D126">
        <v>8.1199999999999992</v>
      </c>
      <c r="E126">
        <v>8.02</v>
      </c>
      <c r="F126">
        <v>0.495</v>
      </c>
      <c r="G126">
        <v>0.31</v>
      </c>
      <c r="H126">
        <v>127</v>
      </c>
      <c r="I126">
        <v>31.2</v>
      </c>
      <c r="J126">
        <v>3.51</v>
      </c>
      <c r="K126">
        <v>42.6</v>
      </c>
      <c r="L126">
        <v>10.6</v>
      </c>
      <c r="M126">
        <v>2.0299999999999998</v>
      </c>
    </row>
    <row r="127" spans="1:13" x14ac:dyDescent="0.25">
      <c r="A127" t="s">
        <v>86</v>
      </c>
      <c r="B127" t="s">
        <v>142</v>
      </c>
      <c r="C127">
        <v>9.1199999999999992</v>
      </c>
      <c r="D127">
        <v>8</v>
      </c>
      <c r="E127">
        <v>8</v>
      </c>
      <c r="F127">
        <v>0.435</v>
      </c>
      <c r="G127">
        <v>0.28499999999999998</v>
      </c>
      <c r="H127">
        <v>110</v>
      </c>
      <c r="I127">
        <v>27.5</v>
      </c>
      <c r="J127">
        <v>3.47</v>
      </c>
      <c r="K127">
        <v>37.1</v>
      </c>
      <c r="L127">
        <v>9.27</v>
      </c>
      <c r="M127">
        <v>2.02</v>
      </c>
    </row>
    <row r="128" spans="1:13" x14ac:dyDescent="0.25">
      <c r="A128" t="s">
        <v>86</v>
      </c>
      <c r="B128" t="s">
        <v>143</v>
      </c>
      <c r="C128">
        <v>8.24</v>
      </c>
      <c r="D128">
        <v>8.06</v>
      </c>
      <c r="E128">
        <v>6.54</v>
      </c>
      <c r="F128">
        <v>0.46500000000000002</v>
      </c>
      <c r="G128">
        <v>0.28499999999999998</v>
      </c>
      <c r="H128">
        <v>98</v>
      </c>
      <c r="I128">
        <v>24.3</v>
      </c>
      <c r="J128">
        <v>3.45</v>
      </c>
      <c r="K128">
        <v>21.7</v>
      </c>
      <c r="L128">
        <v>6.63</v>
      </c>
      <c r="M128">
        <v>1.62</v>
      </c>
    </row>
    <row r="129" spans="1:13" x14ac:dyDescent="0.25">
      <c r="A129" t="s">
        <v>86</v>
      </c>
      <c r="B129" t="s">
        <v>144</v>
      </c>
      <c r="C129">
        <v>7.08</v>
      </c>
      <c r="D129">
        <v>7.93</v>
      </c>
      <c r="E129">
        <v>6.5</v>
      </c>
      <c r="F129">
        <v>0.4</v>
      </c>
      <c r="G129">
        <v>0.245</v>
      </c>
      <c r="H129">
        <v>82.7</v>
      </c>
      <c r="I129">
        <v>20.9</v>
      </c>
      <c r="J129">
        <v>3.42</v>
      </c>
      <c r="K129">
        <v>18.3</v>
      </c>
      <c r="L129">
        <v>5.63</v>
      </c>
      <c r="M129">
        <v>1.61</v>
      </c>
    </row>
    <row r="130" spans="1:13" x14ac:dyDescent="0.25">
      <c r="A130" t="s">
        <v>86</v>
      </c>
      <c r="B130" t="s">
        <v>145</v>
      </c>
      <c r="C130">
        <v>6.16</v>
      </c>
      <c r="D130">
        <v>8.2799999999999994</v>
      </c>
      <c r="E130">
        <v>5.27</v>
      </c>
      <c r="F130">
        <v>0.4</v>
      </c>
      <c r="G130">
        <v>0.25</v>
      </c>
      <c r="H130">
        <v>75.3</v>
      </c>
      <c r="I130">
        <v>18.2</v>
      </c>
      <c r="J130">
        <v>3.49</v>
      </c>
      <c r="K130">
        <v>9.77</v>
      </c>
      <c r="L130">
        <v>3.71</v>
      </c>
      <c r="M130">
        <v>1.26</v>
      </c>
    </row>
    <row r="131" spans="1:13" x14ac:dyDescent="0.25">
      <c r="A131" t="s">
        <v>86</v>
      </c>
      <c r="B131" t="s">
        <v>146</v>
      </c>
      <c r="C131">
        <v>5.26</v>
      </c>
      <c r="D131">
        <v>8.14</v>
      </c>
      <c r="E131">
        <v>5.25</v>
      </c>
      <c r="F131">
        <v>0.33</v>
      </c>
      <c r="G131">
        <v>0.23</v>
      </c>
      <c r="H131">
        <v>61.9</v>
      </c>
      <c r="I131">
        <v>15.2</v>
      </c>
      <c r="J131">
        <v>3.43</v>
      </c>
      <c r="K131">
        <v>7.97</v>
      </c>
      <c r="L131">
        <v>3.04</v>
      </c>
      <c r="M131">
        <v>1.23</v>
      </c>
    </row>
    <row r="132" spans="1:13" x14ac:dyDescent="0.25">
      <c r="A132" t="s">
        <v>86</v>
      </c>
      <c r="B132" t="s">
        <v>147</v>
      </c>
      <c r="C132">
        <v>4.4400000000000004</v>
      </c>
      <c r="D132">
        <v>8.11</v>
      </c>
      <c r="E132">
        <v>4.01</v>
      </c>
      <c r="F132">
        <v>0.315</v>
      </c>
      <c r="G132">
        <v>0.245</v>
      </c>
      <c r="H132">
        <v>48</v>
      </c>
      <c r="I132">
        <v>11.8</v>
      </c>
      <c r="J132">
        <v>3.29</v>
      </c>
      <c r="K132">
        <v>3.41</v>
      </c>
      <c r="L132">
        <v>1.7</v>
      </c>
      <c r="M132">
        <v>0.876</v>
      </c>
    </row>
    <row r="133" spans="1:13" x14ac:dyDescent="0.25">
      <c r="A133" t="s">
        <v>86</v>
      </c>
      <c r="B133" t="s">
        <v>148</v>
      </c>
      <c r="C133">
        <v>3.84</v>
      </c>
      <c r="D133">
        <v>7.99</v>
      </c>
      <c r="E133">
        <v>4</v>
      </c>
      <c r="F133">
        <v>0.255</v>
      </c>
      <c r="G133">
        <v>0.23</v>
      </c>
      <c r="H133">
        <v>39.6</v>
      </c>
      <c r="I133">
        <v>9.91</v>
      </c>
      <c r="J133">
        <v>3.21</v>
      </c>
      <c r="K133">
        <v>2.73</v>
      </c>
      <c r="L133">
        <v>1.37</v>
      </c>
      <c r="M133">
        <v>0.84299999999999997</v>
      </c>
    </row>
    <row r="134" spans="1:13" x14ac:dyDescent="0.25">
      <c r="A134" t="s">
        <v>86</v>
      </c>
      <c r="B134" t="s">
        <v>149</v>
      </c>
      <c r="C134">
        <v>7.34</v>
      </c>
      <c r="D134">
        <v>6.38</v>
      </c>
      <c r="E134">
        <v>6.08</v>
      </c>
      <c r="F134">
        <v>0.45500000000000002</v>
      </c>
      <c r="G134">
        <v>0.32</v>
      </c>
      <c r="H134">
        <v>53.4</v>
      </c>
      <c r="I134">
        <v>16.7</v>
      </c>
      <c r="J134">
        <v>2.7</v>
      </c>
      <c r="K134">
        <v>17.100000000000001</v>
      </c>
      <c r="L134">
        <v>5.61</v>
      </c>
      <c r="M134">
        <v>1.52</v>
      </c>
    </row>
    <row r="135" spans="1:13" x14ac:dyDescent="0.25">
      <c r="A135" t="s">
        <v>86</v>
      </c>
      <c r="B135" t="s">
        <v>150</v>
      </c>
      <c r="C135">
        <v>5.87</v>
      </c>
      <c r="D135">
        <v>6.2</v>
      </c>
      <c r="E135">
        <v>6.02</v>
      </c>
      <c r="F135">
        <v>0.36499999999999999</v>
      </c>
      <c r="G135">
        <v>0.26</v>
      </c>
      <c r="H135">
        <v>41.4</v>
      </c>
      <c r="I135">
        <v>13.4</v>
      </c>
      <c r="J135">
        <v>2.66</v>
      </c>
      <c r="K135">
        <v>13.3</v>
      </c>
      <c r="L135">
        <v>4.41</v>
      </c>
      <c r="M135">
        <v>1.5</v>
      </c>
    </row>
    <row r="136" spans="1:13" x14ac:dyDescent="0.25">
      <c r="A136" t="s">
        <v>86</v>
      </c>
      <c r="B136" t="s">
        <v>151</v>
      </c>
      <c r="C136">
        <v>4.74</v>
      </c>
      <c r="D136">
        <v>6.28</v>
      </c>
      <c r="E136">
        <v>4.03</v>
      </c>
      <c r="F136">
        <v>0.40500000000000003</v>
      </c>
      <c r="G136">
        <v>0.26</v>
      </c>
      <c r="H136">
        <v>32.1</v>
      </c>
      <c r="I136">
        <v>10.199999999999999</v>
      </c>
      <c r="J136">
        <v>2.6</v>
      </c>
      <c r="K136">
        <v>4.43</v>
      </c>
      <c r="L136">
        <v>2.2000000000000002</v>
      </c>
      <c r="M136">
        <v>0.96699999999999997</v>
      </c>
    </row>
    <row r="137" spans="1:13" x14ac:dyDescent="0.25">
      <c r="A137" t="s">
        <v>86</v>
      </c>
      <c r="B137" t="s">
        <v>152</v>
      </c>
      <c r="C137">
        <v>3.55</v>
      </c>
      <c r="D137">
        <v>6.03</v>
      </c>
      <c r="E137">
        <v>4</v>
      </c>
      <c r="F137">
        <v>0.28000000000000003</v>
      </c>
      <c r="G137">
        <v>0.23</v>
      </c>
      <c r="H137">
        <v>22.1</v>
      </c>
      <c r="I137">
        <v>7.31</v>
      </c>
      <c r="J137">
        <v>2.4900000000000002</v>
      </c>
      <c r="K137">
        <v>2.99</v>
      </c>
      <c r="L137">
        <v>1.5</v>
      </c>
      <c r="M137">
        <v>0.91800000000000004</v>
      </c>
    </row>
    <row r="138" spans="1:13" x14ac:dyDescent="0.25">
      <c r="A138" t="s">
        <v>86</v>
      </c>
      <c r="B138" t="s">
        <v>153</v>
      </c>
      <c r="C138">
        <v>2.68</v>
      </c>
      <c r="D138">
        <v>5.9</v>
      </c>
      <c r="E138">
        <v>3.94</v>
      </c>
      <c r="F138">
        <v>0.215</v>
      </c>
      <c r="G138">
        <v>0.17</v>
      </c>
      <c r="H138">
        <v>16.399999999999999</v>
      </c>
      <c r="I138">
        <v>5.56</v>
      </c>
      <c r="J138">
        <v>2.4700000000000002</v>
      </c>
      <c r="K138">
        <v>2.2000000000000002</v>
      </c>
      <c r="L138">
        <v>1.1100000000000001</v>
      </c>
      <c r="M138">
        <v>0.90500000000000003</v>
      </c>
    </row>
    <row r="139" spans="1:13" x14ac:dyDescent="0.25">
      <c r="A139" t="s">
        <v>86</v>
      </c>
      <c r="B139" t="s">
        <v>155</v>
      </c>
      <c r="C139">
        <v>5.56</v>
      </c>
      <c r="D139">
        <v>5.15</v>
      </c>
      <c r="E139">
        <v>5.03</v>
      </c>
      <c r="F139">
        <v>0.43</v>
      </c>
      <c r="G139">
        <v>0.27</v>
      </c>
      <c r="H139">
        <v>26.3</v>
      </c>
      <c r="I139">
        <v>10.199999999999999</v>
      </c>
      <c r="J139">
        <v>2.17</v>
      </c>
      <c r="K139">
        <v>9.1300000000000008</v>
      </c>
      <c r="L139">
        <v>3.63</v>
      </c>
      <c r="M139">
        <v>1.28</v>
      </c>
    </row>
    <row r="140" spans="1:13" x14ac:dyDescent="0.25">
      <c r="A140" t="s">
        <v>86</v>
      </c>
      <c r="B140" t="s">
        <v>154</v>
      </c>
      <c r="C140">
        <v>4.71</v>
      </c>
      <c r="D140">
        <v>5.01</v>
      </c>
      <c r="E140">
        <v>5</v>
      </c>
      <c r="F140">
        <v>0.36</v>
      </c>
      <c r="G140">
        <v>0.24</v>
      </c>
      <c r="H140">
        <v>21.4</v>
      </c>
      <c r="I140">
        <v>8.5500000000000007</v>
      </c>
      <c r="J140">
        <v>2.13</v>
      </c>
      <c r="K140">
        <v>7.51</v>
      </c>
      <c r="L140">
        <v>3</v>
      </c>
      <c r="M140">
        <v>1.26</v>
      </c>
    </row>
    <row r="141" spans="1:13" x14ac:dyDescent="0.25">
      <c r="A141" t="s">
        <v>86</v>
      </c>
      <c r="B141" t="s">
        <v>156</v>
      </c>
      <c r="C141">
        <v>3.83</v>
      </c>
      <c r="D141">
        <v>4.16</v>
      </c>
      <c r="E141">
        <v>4.0599999999999996</v>
      </c>
      <c r="F141">
        <v>0.34499999999999997</v>
      </c>
      <c r="G141">
        <v>0.28000000000000003</v>
      </c>
      <c r="H141">
        <v>11.3</v>
      </c>
      <c r="I141">
        <v>5.46</v>
      </c>
      <c r="J141">
        <v>1.72</v>
      </c>
      <c r="K141">
        <v>3.86</v>
      </c>
      <c r="L141">
        <v>1.9</v>
      </c>
      <c r="M141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D5A1A-F5CE-45C9-8C54-CB9280355E94}">
  <sheetPr codeName="Hoja3"/>
  <dimension ref="A1:P57"/>
  <sheetViews>
    <sheetView workbookViewId="0">
      <selection activeCell="D1" sqref="D1:G1048576"/>
    </sheetView>
  </sheetViews>
  <sheetFormatPr baseColWidth="10" defaultRowHeight="15" x14ac:dyDescent="0.25"/>
  <cols>
    <col min="3" max="3" width="14.85546875" bestFit="1" customWidth="1"/>
    <col min="16" max="16" width="11.85546875" bestFit="1" customWidth="1"/>
  </cols>
  <sheetData>
    <row r="1" spans="1:16" x14ac:dyDescent="0.25">
      <c r="A1" t="s">
        <v>0</v>
      </c>
      <c r="B1" t="s">
        <v>11</v>
      </c>
      <c r="C1" t="s">
        <v>2</v>
      </c>
      <c r="D1" t="s">
        <v>12</v>
      </c>
      <c r="E1" t="s">
        <v>13</v>
      </c>
      <c r="F1" t="s">
        <v>14</v>
      </c>
      <c r="G1" t="s">
        <v>15</v>
      </c>
      <c r="H1" t="s">
        <v>3</v>
      </c>
      <c r="I1" t="s">
        <v>4</v>
      </c>
      <c r="J1" t="s">
        <v>5</v>
      </c>
      <c r="K1" t="s">
        <v>7</v>
      </c>
      <c r="L1" t="s">
        <v>8</v>
      </c>
      <c r="M1" t="s">
        <v>9</v>
      </c>
    </row>
    <row r="2" spans="1:16" x14ac:dyDescent="0.25">
      <c r="A2" t="s">
        <v>1</v>
      </c>
      <c r="B2" t="s">
        <v>157</v>
      </c>
      <c r="C2">
        <v>22900</v>
      </c>
      <c r="D2">
        <v>622</v>
      </c>
      <c r="E2">
        <v>204</v>
      </c>
      <c r="F2">
        <v>27.7</v>
      </c>
      <c r="G2">
        <v>20.3</v>
      </c>
      <c r="H2">
        <v>1320</v>
      </c>
      <c r="I2">
        <v>4230</v>
      </c>
      <c r="J2">
        <v>240</v>
      </c>
      <c r="K2">
        <v>34.5</v>
      </c>
      <c r="L2">
        <v>338</v>
      </c>
      <c r="M2">
        <v>38.9</v>
      </c>
    </row>
    <row r="3" spans="1:16" x14ac:dyDescent="0.25">
      <c r="A3" t="s">
        <v>1</v>
      </c>
      <c r="B3" t="s">
        <v>158</v>
      </c>
      <c r="C3">
        <v>20100</v>
      </c>
      <c r="D3">
        <v>622</v>
      </c>
      <c r="E3">
        <v>200</v>
      </c>
      <c r="F3">
        <v>27.7</v>
      </c>
      <c r="G3">
        <v>15.7</v>
      </c>
      <c r="H3">
        <v>1220</v>
      </c>
      <c r="I3">
        <v>3930</v>
      </c>
      <c r="J3">
        <v>247</v>
      </c>
      <c r="K3">
        <v>32</v>
      </c>
      <c r="L3">
        <v>320</v>
      </c>
      <c r="M3">
        <v>39.9</v>
      </c>
      <c r="P3" t="str" cm="1">
        <f t="array" ref="P3">listaPerfiles(B2)</f>
        <v>{"S610X180(SI)","S610X158(SI)","S610X149(SI)","S610X134(SI)","S610X119(SI)","S510X143(SI)","S510X128(SI)","S510X112(SI)","S510X98.2(SI)","S460X104(SI)","S460X81.4(SI)","S380X74(SI)","S380X64(SI)","S310X74(SI)","S310X60.7(SI)","S310X52(SI)","S310X47.3(SI)","S250X52(SI)","S250X37.8(SI)","S200X34(SI)","S200X27.4(SI)","S150X25.7(SI)","S150X18.6(SI)","S130X15(SI)","S100X14.1(SI)","S100X11.5(SI)","S75X11.2(SI)","S75X8.5(SI)","S24X121(US)","S24X106(US)","S24X100(US)","S24X90(US)","S24X80(US)","S20X96(US)","S20X86(US)","S20X75(US)","S20X66(US)","S18X70(US)","S18X54.7(US)","S15X50(US)","S15X42.9(US)","S12X50(US)","S12X40.8(US)","S12X35(US)","S12X31.8(US)","S10X35(US)","S10X25.4(US)","S8X23(US)","S8X18.4(US)","S6X17.2(US)","S6X12.5(US)","S5X10(US)","S4X9.5(US)","S4X7.7(US)","S3X7.5(US)","S3X5.7(US)"};</v>
      </c>
    </row>
    <row r="4" spans="1:16" x14ac:dyDescent="0.25">
      <c r="A4" t="s">
        <v>1</v>
      </c>
      <c r="B4" t="s">
        <v>159</v>
      </c>
      <c r="C4">
        <v>18900</v>
      </c>
      <c r="D4">
        <v>610</v>
      </c>
      <c r="E4">
        <v>184</v>
      </c>
      <c r="F4">
        <v>22.1</v>
      </c>
      <c r="G4">
        <v>18.899999999999999</v>
      </c>
      <c r="H4">
        <v>991</v>
      </c>
      <c r="I4">
        <v>3260</v>
      </c>
      <c r="J4">
        <v>229</v>
      </c>
      <c r="K4">
        <v>19.7</v>
      </c>
      <c r="L4">
        <v>215</v>
      </c>
      <c r="M4">
        <v>32.299999999999997</v>
      </c>
      <c r="P4" t="str" cm="1">
        <f t="array" ref="P4">perfiles(B2)</f>
        <v>{
{{22900_mm^2,1320E6_mm^4,34.5E6_mm^4,0_mm^4},{622_mm,204_mm,27.7_mm,20.3_mm}},
{{20100_mm^2,1220E6_mm^4,32E6_mm^4,0_mm^4},{622_mm,200_mm,27.7_mm,15.7_mm}},
{{18900_mm^2,991E6_mm^4,19.7E6_mm^4,0_mm^4},{610_mm,184_mm,22.1_mm,18.9_mm}},
{{17100_mm^2,937E6_mm^4,18.6E6_mm^4,0_mm^4},{610_mm,181_mm,22.1_mm,15.9_mm}},
{{15200_mm^2,874E6_mm^4,17.5E6_mm^4,0_mm^4},{610_mm,178_mm,22.1_mm,12.7_mm}},
{{18200_mm^2,695E6_mm^4,20.8E6_mm^4,0_mm^4},{516_mm,183_mm,23.4_mm,20.3_mm}},
{{16300_mm^2,653E6_mm^4,19.4E6_mm^4,0_mm^4},{516_mm,179_mm,23.4_mm,16.8_mm}},
{{14200_mm^2,533E6_mm^4,12.3E6_mm^4,0_mm^4},{508_mm,162_mm,20.2_mm,16.1_mm}},
{{12500_mm^2,495E6_mm^4,11.4E6_mm^4,0_mm^4},{508_mm,159_mm,20.2_mm,12.8_mm}},
{{13200_mm^2,384E6_mm^4,10E6_mm^4,0_mm^4},{457_mm,159_mm,17.6_mm,18.1_mm}},
{{10300_mm^2,333E6_mm^4,8.62E6_mm^4,0_mm^4},{457_mm,152_mm,17.6_mm,11.7_mm}},
{{9480_mm^2,202E6_mm^4,6.49E6_mm^4,0_mm^4},{381_mm,143_mm,15.8_mm,14_mm}},
{{8130_mm^2,186E6_mm^4,5.95E6_mm^4,0_mm^4},{381_mm,140_mm,15.8_mm,10.4_mm}},
{{9420_mm^2,126E6_mm^4,6.49E6_mm^4,0_mm^4},{305_mm,139_mm,16.7_mm,17.4_mm}},
{{7680_mm^2,112E6_mm^4,5.62E6_mm^4,0_mm^4},{305_mm,133_mm,16.7_mm,11.7_mm}},
{{6580_mm^2,94.9E6_mm^4,4.1E6_mm^4,0_mm^4},{305_mm,129_mm,13.8_mm,10.9_mm}},
{{6010_mm^2,90.3E6_mm^4,3.88E6_mm^4,0_mm^4},{305_mm,127_mm,13.8_mm,8.89_mm}},
{{6650_mm^2,61.2E6_mm^4,3.45E6_mm^4,0_mm^4},{254_mm,125_mm,12.5_mm,15.1_mm}},
{{4810_mm^2,51.2E6_mm^4,2.8E6_mm^4,0_mm^4},{254_mm,118_mm,12.5_mm,7.9_mm}},
{{4360_mm^2,26.9E6_mm^4,1.78E6_mm^4,0_mm^4},{203_mm,106_mm,10.8_mm,11.2_mm}},
{{3480_mm^2,23.9E6_mm^4,1.54E6_mm^4,0_mm^4},{203_mm,102_mm,10.8_mm,6.88_mm}},
{{3260_mm^2,10.9E6_mm^4,0.953E6_mm^4,0_mm^4},{152_mm,90.7_mm,9.12_mm,11.8_mm}},
{{2360_mm^2,9.16E6_mm^4,0.749E6_mm^4,0_mm^4},{152_mm,84.6_mm,9.12_mm,5.89_mm}},
{{1890_mm^2,5.12E6_mm^4,0.495E6_mm^4,0_mm^4},{127_mm,76.2_mm,8.28_mm,5.44_mm}},
{{1800_mm^2,2.81E6_mm^4,0.369E6_mm^4,0_mm^4},{102_mm,71.1_mm,7.44_mm,8.28_mm}},
{{1460_mm^2,2.52E6_mm^4,0.311E6_mm^4,0_mm^4},{102_mm,67.6_mm,7.44_mm,4.9_mm}},
{{1420_mm^2,1.21E6_mm^4,0.241E6_mm^4,0_mm^4},{76.2_mm,63.8_mm,6.6_mm,8.86_mm}},
{{1070_mm^2,1.04E6_mm^4,0.186E6_mm^4,0_mm^4},{76.2_mm,59.2_mm,6.6_mm,4.32_mm}},
{{35.5_in^2,3160_in^4,83_in^4,0_in^4},{24.5_in,8.05_in,1.09_in,0.8_in}},
{{31.1_in^2,2940_in^4,76.8_in^4,0_in^4},{24.5_in,7.87_in,1.09_in,0.62_in}},
{{29.3_in^2,2380_in^4,47.4_in^4,0_in^4},{24_in,7.25_in,0.87_in,0.745_in}},
{{26.5_in^2,2250_in^4,44.7_in^4,0_in^4},{24_in,7.13_in,0.87_in,0.625_in}},
{{23.5_in^2,2100_in^4,42_in^4,0_in^4},{24_in,7_in,0.87_in,0.5_in}},
{{28.2_in^2,1670_in^4,49.9_in^4,0_in^4},{20.3_in,7.2_in,0.92_in,0.8_in}},
{{25.3_in^2,1570_in^4,46.6_in^4,0_in^4},{20.3_in,7.06_in,0.92_in,0.66_in}},
{{22_in^2,1280_in^4,29.5_in^4,0_in^4},{20_in,6.39_in,0.795_in,0.635_in}},
{{19.4_in^2,1190_in^4,27.5_in^4,0_in^4},{20_in,6.26_in,0.795_in,0.505_in}},
{{20.5_in^2,923_in^4,24_in^4,0_in^4},{18_in,6.25_in,0.691_in,0.711_in}},
{{16_in^2,801_in^4,20.7_in^4,0_in^4},{18_in,6_in,0.691_in,0.461_in}},
{{14.7_in^2,485_in^4,15.6_in^4,0_in^4},{15_in,5.64_in,0.622_in,0.55_in}},
{{12.6_in^2,446_in^4,14.3_in^4,0_in^4},{15_in,5.5_in,0.622_in,0.411_in}},
{{14.6_in^2,303_in^4,15.6_in^4,0_in^4},{12_in,5.48_in,0.659_in,0.687_in}},
{{11.9_in^2,270_in^4,13.5_in^4,0_in^4},{12_in,5.25_in,0.659_in,0.462_in}},
{{10.2_in^2,228_in^4,9.84_in^4,0_in^4},{12_in,5.08_in,0.544_in,0.428_in}},
{{9.31_in^2,217_in^4,9.33_in^4,0_in^4},{12_in,5_in,0.544_in,0.35_in}},
{{10.3_in^2,147_in^4,8.3_in^4,0_in^4},{10_in,4.94_in,0.491_in,0.594_in}},
{{7.45_in^2,123_in^4,6.73_in^4,0_in^4},{10_in,4.66_in,0.491_in,0.311_in}},
{{6.76_in^2,64.7_in^4,4.27_in^4,0_in^4},{8_in,4.17_in,0.425_in,0.441_in}},
{{5.4_in^2,57.5_in^4,3.69_in^4,0_in^4},{8_in,4_in,0.425_in,0.271_in}},
{{5.06_in^2,26.2_in^4,2.29_in^4,0_in^4},{6_in,3.57_in,0.359_in,0.465_in}},
{{3.66_in^2,22_in^4,1.8_in^4,0_in^4},{6_in,3.33_in,0.359_in,0.232_in}},
{{2.93_in^2,12.3_in^4,1.19_in^4,0_in^4},{5_in,3_in,0.326_in,0.214_in}},
{{2.79_in^2,6.76_in^4,0.887_in^4,0_in^4},{4_in,2.8_in,0.293_in,0.326_in}},
{{2.26_in^2,6.05_in^4,0.748_in^4,0_in^4},{4_in,2.66_in,0.293_in,0.193_in}},
{{2.2_in^2,2.91_in^4,0.578_in^4,0_in^4},{3_in,2.51_in,0.26_in,0.349_in}},
{{1.66_in^2,2.5_in^4,0.447_in^4,0_in^4},{3_in,2.33_in,0.26_in,0.17_in}}
};</v>
      </c>
    </row>
    <row r="5" spans="1:16" x14ac:dyDescent="0.25">
      <c r="A5" t="s">
        <v>1</v>
      </c>
      <c r="B5" t="s">
        <v>160</v>
      </c>
      <c r="C5">
        <v>17100</v>
      </c>
      <c r="D5">
        <v>610</v>
      </c>
      <c r="E5">
        <v>181</v>
      </c>
      <c r="F5">
        <v>22.1</v>
      </c>
      <c r="G5">
        <v>15.9</v>
      </c>
      <c r="H5">
        <v>937</v>
      </c>
      <c r="I5">
        <v>3060</v>
      </c>
      <c r="J5">
        <v>234</v>
      </c>
      <c r="K5">
        <v>18.600000000000001</v>
      </c>
      <c r="L5">
        <v>205</v>
      </c>
      <c r="M5">
        <v>33</v>
      </c>
    </row>
    <row r="6" spans="1:16" x14ac:dyDescent="0.25">
      <c r="A6" t="s">
        <v>1</v>
      </c>
      <c r="B6" t="s">
        <v>161</v>
      </c>
      <c r="C6">
        <v>15200</v>
      </c>
      <c r="D6">
        <v>610</v>
      </c>
      <c r="E6">
        <v>178</v>
      </c>
      <c r="F6">
        <v>22.1</v>
      </c>
      <c r="G6">
        <v>12.7</v>
      </c>
      <c r="H6">
        <v>874</v>
      </c>
      <c r="I6">
        <v>2870</v>
      </c>
      <c r="J6">
        <v>241</v>
      </c>
      <c r="K6">
        <v>17.5</v>
      </c>
      <c r="L6">
        <v>197</v>
      </c>
      <c r="M6">
        <v>34</v>
      </c>
    </row>
    <row r="7" spans="1:16" x14ac:dyDescent="0.25">
      <c r="A7" t="s">
        <v>1</v>
      </c>
      <c r="B7" t="s">
        <v>162</v>
      </c>
      <c r="C7">
        <v>18200</v>
      </c>
      <c r="D7">
        <v>516</v>
      </c>
      <c r="E7">
        <v>183</v>
      </c>
      <c r="F7">
        <v>23.4</v>
      </c>
      <c r="G7">
        <v>20.3</v>
      </c>
      <c r="H7">
        <v>695</v>
      </c>
      <c r="I7">
        <v>2700</v>
      </c>
      <c r="J7">
        <v>196</v>
      </c>
      <c r="K7">
        <v>20.8</v>
      </c>
      <c r="L7">
        <v>228</v>
      </c>
      <c r="M7">
        <v>33.799999999999997</v>
      </c>
    </row>
    <row r="8" spans="1:16" x14ac:dyDescent="0.25">
      <c r="A8" t="s">
        <v>1</v>
      </c>
      <c r="B8" t="s">
        <v>163</v>
      </c>
      <c r="C8">
        <v>16300</v>
      </c>
      <c r="D8">
        <v>516</v>
      </c>
      <c r="E8">
        <v>179</v>
      </c>
      <c r="F8">
        <v>23.4</v>
      </c>
      <c r="G8">
        <v>16.8</v>
      </c>
      <c r="H8">
        <v>653</v>
      </c>
      <c r="I8">
        <v>2540</v>
      </c>
      <c r="J8">
        <v>200</v>
      </c>
      <c r="K8">
        <v>19.399999999999999</v>
      </c>
      <c r="L8">
        <v>216</v>
      </c>
      <c r="M8">
        <v>34.5</v>
      </c>
    </row>
    <row r="9" spans="1:16" x14ac:dyDescent="0.25">
      <c r="A9" t="s">
        <v>1</v>
      </c>
      <c r="B9" t="s">
        <v>164</v>
      </c>
      <c r="C9">
        <v>14200</v>
      </c>
      <c r="D9">
        <v>508</v>
      </c>
      <c r="E9">
        <v>162</v>
      </c>
      <c r="F9">
        <v>20.2</v>
      </c>
      <c r="G9">
        <v>16.100000000000001</v>
      </c>
      <c r="H9">
        <v>533</v>
      </c>
      <c r="I9">
        <v>2100</v>
      </c>
      <c r="J9">
        <v>194</v>
      </c>
      <c r="K9">
        <v>12.3</v>
      </c>
      <c r="L9">
        <v>152</v>
      </c>
      <c r="M9">
        <v>29.5</v>
      </c>
    </row>
    <row r="10" spans="1:16" x14ac:dyDescent="0.25">
      <c r="A10" t="s">
        <v>1</v>
      </c>
      <c r="B10" t="s">
        <v>165</v>
      </c>
      <c r="C10">
        <v>12500</v>
      </c>
      <c r="D10">
        <v>508</v>
      </c>
      <c r="E10">
        <v>159</v>
      </c>
      <c r="F10">
        <v>20.2</v>
      </c>
      <c r="G10">
        <v>12.8</v>
      </c>
      <c r="H10">
        <v>495</v>
      </c>
      <c r="I10">
        <v>1950</v>
      </c>
      <c r="J10">
        <v>199</v>
      </c>
      <c r="K10">
        <v>11.4</v>
      </c>
      <c r="L10">
        <v>144</v>
      </c>
      <c r="M10">
        <v>30.2</v>
      </c>
    </row>
    <row r="11" spans="1:16" x14ac:dyDescent="0.25">
      <c r="A11" t="s">
        <v>1</v>
      </c>
      <c r="B11" t="s">
        <v>166</v>
      </c>
      <c r="C11">
        <v>13200</v>
      </c>
      <c r="D11">
        <v>457</v>
      </c>
      <c r="E11">
        <v>159</v>
      </c>
      <c r="F11">
        <v>17.600000000000001</v>
      </c>
      <c r="G11">
        <v>18.100000000000001</v>
      </c>
      <c r="H11">
        <v>384</v>
      </c>
      <c r="I11">
        <v>1690</v>
      </c>
      <c r="J11">
        <v>170</v>
      </c>
      <c r="K11">
        <v>10</v>
      </c>
      <c r="L11">
        <v>126</v>
      </c>
      <c r="M11">
        <v>27.4</v>
      </c>
    </row>
    <row r="12" spans="1:16" x14ac:dyDescent="0.25">
      <c r="A12" t="s">
        <v>1</v>
      </c>
      <c r="B12" t="s">
        <v>167</v>
      </c>
      <c r="C12">
        <v>10300</v>
      </c>
      <c r="D12">
        <v>457</v>
      </c>
      <c r="E12">
        <v>152</v>
      </c>
      <c r="F12">
        <v>17.600000000000001</v>
      </c>
      <c r="G12">
        <v>11.7</v>
      </c>
      <c r="H12">
        <v>333</v>
      </c>
      <c r="I12">
        <v>1460</v>
      </c>
      <c r="J12">
        <v>180</v>
      </c>
      <c r="K12">
        <v>8.6199999999999992</v>
      </c>
      <c r="L12">
        <v>113</v>
      </c>
      <c r="M12">
        <v>29</v>
      </c>
    </row>
    <row r="13" spans="1:16" x14ac:dyDescent="0.25">
      <c r="A13" t="s">
        <v>1</v>
      </c>
      <c r="B13" t="s">
        <v>168</v>
      </c>
      <c r="C13">
        <v>9480</v>
      </c>
      <c r="D13">
        <v>381</v>
      </c>
      <c r="E13">
        <v>143</v>
      </c>
      <c r="F13">
        <v>15.8</v>
      </c>
      <c r="G13">
        <v>14</v>
      </c>
      <c r="H13">
        <v>202</v>
      </c>
      <c r="I13">
        <v>1060</v>
      </c>
      <c r="J13">
        <v>146</v>
      </c>
      <c r="K13">
        <v>6.49</v>
      </c>
      <c r="L13">
        <v>90.6</v>
      </c>
      <c r="M13">
        <v>26.2</v>
      </c>
    </row>
    <row r="14" spans="1:16" x14ac:dyDescent="0.25">
      <c r="A14" t="s">
        <v>1</v>
      </c>
      <c r="B14" t="s">
        <v>169</v>
      </c>
      <c r="C14">
        <v>8130</v>
      </c>
      <c r="D14">
        <v>381</v>
      </c>
      <c r="E14">
        <v>140</v>
      </c>
      <c r="F14">
        <v>15.8</v>
      </c>
      <c r="G14">
        <v>10.4</v>
      </c>
      <c r="H14">
        <v>186</v>
      </c>
      <c r="I14">
        <v>973</v>
      </c>
      <c r="J14">
        <v>151</v>
      </c>
      <c r="K14">
        <v>5.95</v>
      </c>
      <c r="L14">
        <v>85</v>
      </c>
      <c r="M14">
        <v>26.9</v>
      </c>
    </row>
    <row r="15" spans="1:16" x14ac:dyDescent="0.25">
      <c r="A15" t="s">
        <v>1</v>
      </c>
      <c r="B15" t="s">
        <v>170</v>
      </c>
      <c r="C15">
        <v>9420</v>
      </c>
      <c r="D15">
        <v>305</v>
      </c>
      <c r="E15">
        <v>139</v>
      </c>
      <c r="F15">
        <v>16.7</v>
      </c>
      <c r="G15">
        <v>17.399999999999999</v>
      </c>
      <c r="H15">
        <v>126</v>
      </c>
      <c r="I15">
        <v>829</v>
      </c>
      <c r="J15">
        <v>116</v>
      </c>
      <c r="K15">
        <v>6.49</v>
      </c>
      <c r="L15">
        <v>93.2</v>
      </c>
      <c r="M15">
        <v>26.2</v>
      </c>
    </row>
    <row r="16" spans="1:16" x14ac:dyDescent="0.25">
      <c r="A16" t="s">
        <v>1</v>
      </c>
      <c r="B16" t="s">
        <v>171</v>
      </c>
      <c r="C16">
        <v>7680</v>
      </c>
      <c r="D16">
        <v>305</v>
      </c>
      <c r="E16">
        <v>133</v>
      </c>
      <c r="F16">
        <v>16.7</v>
      </c>
      <c r="G16">
        <v>11.7</v>
      </c>
      <c r="H16">
        <v>112</v>
      </c>
      <c r="I16">
        <v>739</v>
      </c>
      <c r="J16">
        <v>121</v>
      </c>
      <c r="K16">
        <v>5.62</v>
      </c>
      <c r="L16">
        <v>84.1</v>
      </c>
      <c r="M16">
        <v>26.9</v>
      </c>
    </row>
    <row r="17" spans="1:13" x14ac:dyDescent="0.25">
      <c r="A17" t="s">
        <v>1</v>
      </c>
      <c r="B17" t="s">
        <v>172</v>
      </c>
      <c r="C17">
        <v>6580</v>
      </c>
      <c r="D17">
        <v>305</v>
      </c>
      <c r="E17">
        <v>129</v>
      </c>
      <c r="F17">
        <v>13.8</v>
      </c>
      <c r="G17">
        <v>10.9</v>
      </c>
      <c r="H17">
        <v>94.9</v>
      </c>
      <c r="I17">
        <v>624</v>
      </c>
      <c r="J17">
        <v>120</v>
      </c>
      <c r="K17">
        <v>4.0999999999999996</v>
      </c>
      <c r="L17">
        <v>63.6</v>
      </c>
      <c r="M17">
        <v>24.9</v>
      </c>
    </row>
    <row r="18" spans="1:13" x14ac:dyDescent="0.25">
      <c r="A18" t="s">
        <v>1</v>
      </c>
      <c r="B18" t="s">
        <v>173</v>
      </c>
      <c r="C18">
        <v>6010</v>
      </c>
      <c r="D18">
        <v>305</v>
      </c>
      <c r="E18">
        <v>127</v>
      </c>
      <c r="F18">
        <v>13.8</v>
      </c>
      <c r="G18">
        <v>8.89</v>
      </c>
      <c r="H18">
        <v>90.3</v>
      </c>
      <c r="I18">
        <v>593</v>
      </c>
      <c r="J18">
        <v>123</v>
      </c>
      <c r="K18">
        <v>3.88</v>
      </c>
      <c r="L18">
        <v>61.1</v>
      </c>
      <c r="M18">
        <v>25.4</v>
      </c>
    </row>
    <row r="19" spans="1:13" x14ac:dyDescent="0.25">
      <c r="A19" t="s">
        <v>1</v>
      </c>
      <c r="B19" t="s">
        <v>174</v>
      </c>
      <c r="C19">
        <v>6650</v>
      </c>
      <c r="D19">
        <v>254</v>
      </c>
      <c r="E19">
        <v>125</v>
      </c>
      <c r="F19">
        <v>12.5</v>
      </c>
      <c r="G19">
        <v>15.1</v>
      </c>
      <c r="H19">
        <v>61.2</v>
      </c>
      <c r="I19">
        <v>482</v>
      </c>
      <c r="J19">
        <v>96</v>
      </c>
      <c r="K19">
        <v>3.45</v>
      </c>
      <c r="L19">
        <v>55.1</v>
      </c>
      <c r="M19">
        <v>22.8</v>
      </c>
    </row>
    <row r="20" spans="1:13" x14ac:dyDescent="0.25">
      <c r="A20" t="s">
        <v>1</v>
      </c>
      <c r="B20" t="s">
        <v>175</v>
      </c>
      <c r="C20">
        <v>4810</v>
      </c>
      <c r="D20">
        <v>254</v>
      </c>
      <c r="E20">
        <v>118</v>
      </c>
      <c r="F20">
        <v>12.5</v>
      </c>
      <c r="G20">
        <v>7.9</v>
      </c>
      <c r="H20">
        <v>51.2</v>
      </c>
      <c r="I20">
        <v>403</v>
      </c>
      <c r="J20">
        <v>103</v>
      </c>
      <c r="K20">
        <v>2.8</v>
      </c>
      <c r="L20">
        <v>47.4</v>
      </c>
      <c r="M20">
        <v>24.1</v>
      </c>
    </row>
    <row r="21" spans="1:13" x14ac:dyDescent="0.25">
      <c r="A21" t="s">
        <v>1</v>
      </c>
      <c r="B21" t="s">
        <v>176</v>
      </c>
      <c r="C21">
        <v>4360</v>
      </c>
      <c r="D21">
        <v>203</v>
      </c>
      <c r="E21">
        <v>106</v>
      </c>
      <c r="F21">
        <v>10.8</v>
      </c>
      <c r="G21">
        <v>11.2</v>
      </c>
      <c r="H21">
        <v>26.9</v>
      </c>
      <c r="I21">
        <v>265</v>
      </c>
      <c r="J21">
        <v>78.5</v>
      </c>
      <c r="K21">
        <v>1.78</v>
      </c>
      <c r="L21">
        <v>33.6</v>
      </c>
      <c r="M21">
        <v>20.2</v>
      </c>
    </row>
    <row r="22" spans="1:13" x14ac:dyDescent="0.25">
      <c r="A22" t="s">
        <v>1</v>
      </c>
      <c r="B22" t="s">
        <v>177</v>
      </c>
      <c r="C22">
        <v>3480</v>
      </c>
      <c r="D22">
        <v>203</v>
      </c>
      <c r="E22">
        <v>102</v>
      </c>
      <c r="F22">
        <v>10.8</v>
      </c>
      <c r="G22">
        <v>6.88</v>
      </c>
      <c r="H22">
        <v>23.9</v>
      </c>
      <c r="I22">
        <v>236</v>
      </c>
      <c r="J22">
        <v>82.8</v>
      </c>
      <c r="K22">
        <v>1.54</v>
      </c>
      <c r="L22">
        <v>30.2</v>
      </c>
      <c r="M22">
        <v>21</v>
      </c>
    </row>
    <row r="23" spans="1:13" x14ac:dyDescent="0.25">
      <c r="A23" t="s">
        <v>1</v>
      </c>
      <c r="B23" t="s">
        <v>178</v>
      </c>
      <c r="C23">
        <v>3260</v>
      </c>
      <c r="D23">
        <v>152</v>
      </c>
      <c r="E23">
        <v>90.7</v>
      </c>
      <c r="F23">
        <v>9.1199999999999992</v>
      </c>
      <c r="G23">
        <v>11.8</v>
      </c>
      <c r="H23">
        <v>10.9</v>
      </c>
      <c r="I23">
        <v>143</v>
      </c>
      <c r="J23">
        <v>57.9</v>
      </c>
      <c r="K23">
        <v>0.95299999999999996</v>
      </c>
      <c r="L23">
        <v>21</v>
      </c>
      <c r="M23">
        <v>17.100000000000001</v>
      </c>
    </row>
    <row r="24" spans="1:13" x14ac:dyDescent="0.25">
      <c r="A24" t="s">
        <v>1</v>
      </c>
      <c r="B24" t="s">
        <v>179</v>
      </c>
      <c r="C24">
        <v>2360</v>
      </c>
      <c r="D24">
        <v>152</v>
      </c>
      <c r="E24">
        <v>84.6</v>
      </c>
      <c r="F24">
        <v>9.1199999999999992</v>
      </c>
      <c r="G24">
        <v>5.89</v>
      </c>
      <c r="H24">
        <v>9.16</v>
      </c>
      <c r="I24">
        <v>120</v>
      </c>
      <c r="J24">
        <v>62.2</v>
      </c>
      <c r="K24">
        <v>0.749</v>
      </c>
      <c r="L24">
        <v>17.7</v>
      </c>
      <c r="M24">
        <v>17.8</v>
      </c>
    </row>
    <row r="25" spans="1:13" x14ac:dyDescent="0.25">
      <c r="A25" t="s">
        <v>1</v>
      </c>
      <c r="B25" t="s">
        <v>180</v>
      </c>
      <c r="C25">
        <v>1890</v>
      </c>
      <c r="D25">
        <v>127</v>
      </c>
      <c r="E25">
        <v>76.2</v>
      </c>
      <c r="F25">
        <v>8.2799999999999994</v>
      </c>
      <c r="G25">
        <v>5.44</v>
      </c>
      <c r="H25">
        <v>5.12</v>
      </c>
      <c r="I25">
        <v>80.3</v>
      </c>
      <c r="J25">
        <v>52.1</v>
      </c>
      <c r="K25">
        <v>0.495</v>
      </c>
      <c r="L25">
        <v>13</v>
      </c>
      <c r="M25">
        <v>16.2</v>
      </c>
    </row>
    <row r="26" spans="1:13" x14ac:dyDescent="0.25">
      <c r="A26" t="s">
        <v>1</v>
      </c>
      <c r="B26" t="s">
        <v>181</v>
      </c>
      <c r="C26">
        <v>1800</v>
      </c>
      <c r="D26">
        <v>102</v>
      </c>
      <c r="E26">
        <v>71.099999999999994</v>
      </c>
      <c r="F26">
        <v>7.44</v>
      </c>
      <c r="G26">
        <v>8.2799999999999994</v>
      </c>
      <c r="H26">
        <v>2.81</v>
      </c>
      <c r="I26">
        <v>55.4</v>
      </c>
      <c r="J26">
        <v>39.6</v>
      </c>
      <c r="K26">
        <v>0.36899999999999999</v>
      </c>
      <c r="L26">
        <v>10.4</v>
      </c>
      <c r="M26">
        <v>14.3</v>
      </c>
    </row>
    <row r="27" spans="1:13" x14ac:dyDescent="0.25">
      <c r="A27" t="s">
        <v>1</v>
      </c>
      <c r="B27" t="s">
        <v>182</v>
      </c>
      <c r="C27">
        <v>1460</v>
      </c>
      <c r="D27">
        <v>102</v>
      </c>
      <c r="E27">
        <v>67.599999999999994</v>
      </c>
      <c r="F27">
        <v>7.44</v>
      </c>
      <c r="G27">
        <v>4.9000000000000004</v>
      </c>
      <c r="H27">
        <v>2.52</v>
      </c>
      <c r="I27">
        <v>49.7</v>
      </c>
      <c r="J27">
        <v>41.7</v>
      </c>
      <c r="K27">
        <v>0.311</v>
      </c>
      <c r="L27">
        <v>9.2100000000000009</v>
      </c>
      <c r="M27">
        <v>14.6</v>
      </c>
    </row>
    <row r="28" spans="1:13" x14ac:dyDescent="0.25">
      <c r="A28" t="s">
        <v>1</v>
      </c>
      <c r="B28" t="s">
        <v>183</v>
      </c>
      <c r="C28">
        <v>1420</v>
      </c>
      <c r="D28">
        <v>76.2</v>
      </c>
      <c r="E28">
        <v>63.8</v>
      </c>
      <c r="F28">
        <v>6.6</v>
      </c>
      <c r="G28">
        <v>8.86</v>
      </c>
      <c r="H28">
        <v>1.21</v>
      </c>
      <c r="I28">
        <v>31.8</v>
      </c>
      <c r="J28">
        <v>29.2</v>
      </c>
      <c r="K28">
        <v>0.24099999999999999</v>
      </c>
      <c r="L28">
        <v>7.55</v>
      </c>
      <c r="M28">
        <v>13</v>
      </c>
    </row>
    <row r="29" spans="1:13" x14ac:dyDescent="0.25">
      <c r="A29" t="s">
        <v>1</v>
      </c>
      <c r="B29" t="s">
        <v>184</v>
      </c>
      <c r="C29">
        <v>1070</v>
      </c>
      <c r="D29">
        <v>76.2</v>
      </c>
      <c r="E29">
        <v>59.2</v>
      </c>
      <c r="F29">
        <v>6.6</v>
      </c>
      <c r="G29">
        <v>4.32</v>
      </c>
      <c r="H29">
        <v>1.04</v>
      </c>
      <c r="I29">
        <v>27.4</v>
      </c>
      <c r="J29">
        <v>31.2</v>
      </c>
      <c r="K29">
        <v>0.186</v>
      </c>
      <c r="L29">
        <v>6.28</v>
      </c>
      <c r="M29">
        <v>13.2</v>
      </c>
    </row>
    <row r="30" spans="1:13" x14ac:dyDescent="0.25">
      <c r="A30" t="s">
        <v>86</v>
      </c>
      <c r="B30" t="s">
        <v>185</v>
      </c>
      <c r="C30">
        <v>35.5</v>
      </c>
      <c r="D30">
        <v>24.5</v>
      </c>
      <c r="E30">
        <v>8.0500000000000007</v>
      </c>
      <c r="F30">
        <v>1.0900000000000001</v>
      </c>
      <c r="G30">
        <v>0.8</v>
      </c>
      <c r="H30">
        <v>3160</v>
      </c>
      <c r="I30">
        <v>258</v>
      </c>
      <c r="J30">
        <v>9.43</v>
      </c>
      <c r="K30">
        <v>83</v>
      </c>
      <c r="L30">
        <v>20.6</v>
      </c>
      <c r="M30">
        <v>1.53</v>
      </c>
    </row>
    <row r="31" spans="1:13" x14ac:dyDescent="0.25">
      <c r="A31" t="s">
        <v>86</v>
      </c>
      <c r="B31" t="s">
        <v>186</v>
      </c>
      <c r="C31">
        <v>31.1</v>
      </c>
      <c r="D31">
        <v>24.5</v>
      </c>
      <c r="E31">
        <v>7.87</v>
      </c>
      <c r="F31">
        <v>1.0900000000000001</v>
      </c>
      <c r="G31">
        <v>0.62</v>
      </c>
      <c r="H31">
        <v>2940</v>
      </c>
      <c r="I31">
        <v>240</v>
      </c>
      <c r="J31">
        <v>9.7100000000000009</v>
      </c>
      <c r="K31">
        <v>76.8</v>
      </c>
      <c r="L31">
        <v>19.5</v>
      </c>
      <c r="M31">
        <v>1.57</v>
      </c>
    </row>
    <row r="32" spans="1:13" x14ac:dyDescent="0.25">
      <c r="A32" t="s">
        <v>86</v>
      </c>
      <c r="B32" t="s">
        <v>187</v>
      </c>
      <c r="C32">
        <v>29.3</v>
      </c>
      <c r="D32">
        <v>24</v>
      </c>
      <c r="E32">
        <v>7.25</v>
      </c>
      <c r="F32">
        <v>0.87</v>
      </c>
      <c r="G32">
        <v>0.745</v>
      </c>
      <c r="H32">
        <v>2380</v>
      </c>
      <c r="I32">
        <v>199</v>
      </c>
      <c r="J32">
        <v>9.01</v>
      </c>
      <c r="K32">
        <v>47.4</v>
      </c>
      <c r="L32">
        <v>13.1</v>
      </c>
      <c r="M32">
        <v>1.27</v>
      </c>
    </row>
    <row r="33" spans="1:13" x14ac:dyDescent="0.25">
      <c r="A33" t="s">
        <v>86</v>
      </c>
      <c r="B33" t="s">
        <v>188</v>
      </c>
      <c r="C33">
        <v>26.5</v>
      </c>
      <c r="D33">
        <v>24</v>
      </c>
      <c r="E33">
        <v>7.13</v>
      </c>
      <c r="F33">
        <v>0.87</v>
      </c>
      <c r="G33">
        <v>0.625</v>
      </c>
      <c r="H33">
        <v>2250</v>
      </c>
      <c r="I33">
        <v>187</v>
      </c>
      <c r="J33">
        <v>9.2100000000000009</v>
      </c>
      <c r="K33">
        <v>44.7</v>
      </c>
      <c r="L33">
        <v>12.5</v>
      </c>
      <c r="M33">
        <v>1.3</v>
      </c>
    </row>
    <row r="34" spans="1:13" x14ac:dyDescent="0.25">
      <c r="A34" t="s">
        <v>86</v>
      </c>
      <c r="B34" t="s">
        <v>189</v>
      </c>
      <c r="C34">
        <v>23.5</v>
      </c>
      <c r="D34">
        <v>24</v>
      </c>
      <c r="E34">
        <v>7</v>
      </c>
      <c r="F34">
        <v>0.87</v>
      </c>
      <c r="G34">
        <v>0.5</v>
      </c>
      <c r="H34">
        <v>2100</v>
      </c>
      <c r="I34">
        <v>175</v>
      </c>
      <c r="J34">
        <v>9.4700000000000006</v>
      </c>
      <c r="K34">
        <v>42</v>
      </c>
      <c r="L34">
        <v>12</v>
      </c>
      <c r="M34">
        <v>1.34</v>
      </c>
    </row>
    <row r="35" spans="1:13" x14ac:dyDescent="0.25">
      <c r="A35" t="s">
        <v>86</v>
      </c>
      <c r="B35" t="s">
        <v>190</v>
      </c>
      <c r="C35">
        <v>28.2</v>
      </c>
      <c r="D35">
        <v>20.3</v>
      </c>
      <c r="E35">
        <v>7.2</v>
      </c>
      <c r="F35">
        <v>0.92</v>
      </c>
      <c r="G35">
        <v>0.8</v>
      </c>
      <c r="H35">
        <v>1670</v>
      </c>
      <c r="I35">
        <v>165</v>
      </c>
      <c r="J35">
        <v>7.71</v>
      </c>
      <c r="K35">
        <v>49.9</v>
      </c>
      <c r="L35">
        <v>13.9</v>
      </c>
      <c r="M35">
        <v>1.33</v>
      </c>
    </row>
    <row r="36" spans="1:13" x14ac:dyDescent="0.25">
      <c r="A36" t="s">
        <v>86</v>
      </c>
      <c r="B36" t="s">
        <v>191</v>
      </c>
      <c r="C36">
        <v>25.3</v>
      </c>
      <c r="D36">
        <v>20.3</v>
      </c>
      <c r="E36">
        <v>7.06</v>
      </c>
      <c r="F36">
        <v>0.92</v>
      </c>
      <c r="G36">
        <v>0.66</v>
      </c>
      <c r="H36">
        <v>1570</v>
      </c>
      <c r="I36">
        <v>155</v>
      </c>
      <c r="J36">
        <v>7.89</v>
      </c>
      <c r="K36">
        <v>46.6</v>
      </c>
      <c r="L36">
        <v>13.2</v>
      </c>
      <c r="M36">
        <v>1.36</v>
      </c>
    </row>
    <row r="37" spans="1:13" x14ac:dyDescent="0.25">
      <c r="A37" t="s">
        <v>86</v>
      </c>
      <c r="B37" t="s">
        <v>192</v>
      </c>
      <c r="C37">
        <v>22</v>
      </c>
      <c r="D37">
        <v>20</v>
      </c>
      <c r="E37">
        <v>6.39</v>
      </c>
      <c r="F37">
        <v>0.79500000000000004</v>
      </c>
      <c r="G37">
        <v>0.63500000000000001</v>
      </c>
      <c r="H37">
        <v>1280</v>
      </c>
      <c r="I37">
        <v>128</v>
      </c>
      <c r="J37">
        <v>7.62</v>
      </c>
      <c r="K37">
        <v>29.5</v>
      </c>
      <c r="L37">
        <v>9.25</v>
      </c>
      <c r="M37">
        <v>1.1599999999999999</v>
      </c>
    </row>
    <row r="38" spans="1:13" x14ac:dyDescent="0.25">
      <c r="A38" t="s">
        <v>86</v>
      </c>
      <c r="B38" t="s">
        <v>193</v>
      </c>
      <c r="C38">
        <v>19.399999999999999</v>
      </c>
      <c r="D38">
        <v>20</v>
      </c>
      <c r="E38">
        <v>6.26</v>
      </c>
      <c r="F38">
        <v>0.79500000000000004</v>
      </c>
      <c r="G38">
        <v>0.505</v>
      </c>
      <c r="H38">
        <v>1190</v>
      </c>
      <c r="I38">
        <v>119</v>
      </c>
      <c r="J38">
        <v>7.83</v>
      </c>
      <c r="K38">
        <v>27.5</v>
      </c>
      <c r="L38">
        <v>8.7799999999999994</v>
      </c>
      <c r="M38">
        <v>1.19</v>
      </c>
    </row>
    <row r="39" spans="1:13" x14ac:dyDescent="0.25">
      <c r="A39" t="s">
        <v>86</v>
      </c>
      <c r="B39" t="s">
        <v>194</v>
      </c>
      <c r="C39">
        <v>20.5</v>
      </c>
      <c r="D39">
        <v>18</v>
      </c>
      <c r="E39">
        <v>6.25</v>
      </c>
      <c r="F39">
        <v>0.69099999999999995</v>
      </c>
      <c r="G39">
        <v>0.71099999999999997</v>
      </c>
      <c r="H39">
        <v>923</v>
      </c>
      <c r="I39">
        <v>103</v>
      </c>
      <c r="J39">
        <v>6.7</v>
      </c>
      <c r="K39">
        <v>24</v>
      </c>
      <c r="L39">
        <v>7.69</v>
      </c>
      <c r="M39">
        <v>1.08</v>
      </c>
    </row>
    <row r="40" spans="1:13" x14ac:dyDescent="0.25">
      <c r="A40" t="s">
        <v>86</v>
      </c>
      <c r="B40" t="s">
        <v>195</v>
      </c>
      <c r="C40">
        <v>16</v>
      </c>
      <c r="D40">
        <v>18</v>
      </c>
      <c r="E40">
        <v>6</v>
      </c>
      <c r="F40">
        <v>0.69099999999999995</v>
      </c>
      <c r="G40">
        <v>0.46100000000000002</v>
      </c>
      <c r="H40">
        <v>801</v>
      </c>
      <c r="I40">
        <v>89</v>
      </c>
      <c r="J40">
        <v>7.07</v>
      </c>
      <c r="K40">
        <v>20.7</v>
      </c>
      <c r="L40">
        <v>6.91</v>
      </c>
      <c r="M40">
        <v>1.1399999999999999</v>
      </c>
    </row>
    <row r="41" spans="1:13" x14ac:dyDescent="0.25">
      <c r="A41" t="s">
        <v>86</v>
      </c>
      <c r="B41" t="s">
        <v>196</v>
      </c>
      <c r="C41">
        <v>14.7</v>
      </c>
      <c r="D41">
        <v>15</v>
      </c>
      <c r="E41">
        <v>5.64</v>
      </c>
      <c r="F41">
        <v>0.622</v>
      </c>
      <c r="G41">
        <v>0.55000000000000004</v>
      </c>
      <c r="H41">
        <v>485</v>
      </c>
      <c r="I41">
        <v>64.7</v>
      </c>
      <c r="J41">
        <v>5.75</v>
      </c>
      <c r="K41">
        <v>15.6</v>
      </c>
      <c r="L41">
        <v>5.53</v>
      </c>
      <c r="M41">
        <v>1.03</v>
      </c>
    </row>
    <row r="42" spans="1:13" x14ac:dyDescent="0.25">
      <c r="A42" t="s">
        <v>86</v>
      </c>
      <c r="B42" t="s">
        <v>197</v>
      </c>
      <c r="C42">
        <v>12.6</v>
      </c>
      <c r="D42">
        <v>15</v>
      </c>
      <c r="E42">
        <v>5.5</v>
      </c>
      <c r="F42">
        <v>0.622</v>
      </c>
      <c r="G42">
        <v>0.41099999999999998</v>
      </c>
      <c r="H42">
        <v>446</v>
      </c>
      <c r="I42">
        <v>59.4</v>
      </c>
      <c r="J42">
        <v>5.95</v>
      </c>
      <c r="K42">
        <v>14.3</v>
      </c>
      <c r="L42">
        <v>5.19</v>
      </c>
      <c r="M42">
        <v>1.06</v>
      </c>
    </row>
    <row r="43" spans="1:13" x14ac:dyDescent="0.25">
      <c r="A43" t="s">
        <v>86</v>
      </c>
      <c r="B43" t="s">
        <v>198</v>
      </c>
      <c r="C43">
        <v>14.6</v>
      </c>
      <c r="D43">
        <v>12</v>
      </c>
      <c r="E43">
        <v>5.48</v>
      </c>
      <c r="F43">
        <v>0.65900000000000003</v>
      </c>
      <c r="G43">
        <v>0.68700000000000006</v>
      </c>
      <c r="H43">
        <v>303</v>
      </c>
      <c r="I43">
        <v>50.6</v>
      </c>
      <c r="J43">
        <v>4.55</v>
      </c>
      <c r="K43">
        <v>15.6</v>
      </c>
      <c r="L43">
        <v>5.69</v>
      </c>
      <c r="M43">
        <v>1.03</v>
      </c>
    </row>
    <row r="44" spans="1:13" x14ac:dyDescent="0.25">
      <c r="A44" t="s">
        <v>86</v>
      </c>
      <c r="B44" t="s">
        <v>199</v>
      </c>
      <c r="C44">
        <v>11.9</v>
      </c>
      <c r="D44">
        <v>12</v>
      </c>
      <c r="E44">
        <v>5.25</v>
      </c>
      <c r="F44">
        <v>0.65900000000000003</v>
      </c>
      <c r="G44">
        <v>0.46200000000000002</v>
      </c>
      <c r="H44">
        <v>270</v>
      </c>
      <c r="I44">
        <v>45.1</v>
      </c>
      <c r="J44">
        <v>4.76</v>
      </c>
      <c r="K44">
        <v>13.5</v>
      </c>
      <c r="L44">
        <v>5.13</v>
      </c>
      <c r="M44">
        <v>1.06</v>
      </c>
    </row>
    <row r="45" spans="1:13" x14ac:dyDescent="0.25">
      <c r="A45" t="s">
        <v>86</v>
      </c>
      <c r="B45" t="s">
        <v>200</v>
      </c>
      <c r="C45">
        <v>10.199999999999999</v>
      </c>
      <c r="D45">
        <v>12</v>
      </c>
      <c r="E45">
        <v>5.08</v>
      </c>
      <c r="F45">
        <v>0.54400000000000004</v>
      </c>
      <c r="G45">
        <v>0.42799999999999999</v>
      </c>
      <c r="H45">
        <v>228</v>
      </c>
      <c r="I45">
        <v>38.1</v>
      </c>
      <c r="J45">
        <v>4.72</v>
      </c>
      <c r="K45">
        <v>9.84</v>
      </c>
      <c r="L45">
        <v>3.88</v>
      </c>
      <c r="M45">
        <v>0.98</v>
      </c>
    </row>
    <row r="46" spans="1:13" x14ac:dyDescent="0.25">
      <c r="A46" t="s">
        <v>86</v>
      </c>
      <c r="B46" t="s">
        <v>201</v>
      </c>
      <c r="C46">
        <v>9.31</v>
      </c>
      <c r="D46">
        <v>12</v>
      </c>
      <c r="E46">
        <v>5</v>
      </c>
      <c r="F46">
        <v>0.54400000000000004</v>
      </c>
      <c r="G46">
        <v>0.35</v>
      </c>
      <c r="H46">
        <v>217</v>
      </c>
      <c r="I46">
        <v>36.200000000000003</v>
      </c>
      <c r="J46">
        <v>4.83</v>
      </c>
      <c r="K46">
        <v>9.33</v>
      </c>
      <c r="L46">
        <v>3.73</v>
      </c>
      <c r="M46">
        <v>1</v>
      </c>
    </row>
    <row r="47" spans="1:13" x14ac:dyDescent="0.25">
      <c r="A47" t="s">
        <v>86</v>
      </c>
      <c r="B47" t="s">
        <v>202</v>
      </c>
      <c r="C47">
        <v>10.3</v>
      </c>
      <c r="D47">
        <v>10</v>
      </c>
      <c r="E47">
        <v>4.9400000000000004</v>
      </c>
      <c r="F47">
        <v>0.49099999999999999</v>
      </c>
      <c r="G47">
        <v>0.59399999999999997</v>
      </c>
      <c r="H47">
        <v>147</v>
      </c>
      <c r="I47">
        <v>29.4</v>
      </c>
      <c r="J47">
        <v>3.78</v>
      </c>
      <c r="K47">
        <v>8.3000000000000007</v>
      </c>
      <c r="L47">
        <v>3.36</v>
      </c>
      <c r="M47">
        <v>0.89900000000000002</v>
      </c>
    </row>
    <row r="48" spans="1:13" x14ac:dyDescent="0.25">
      <c r="A48" t="s">
        <v>86</v>
      </c>
      <c r="B48" t="s">
        <v>203</v>
      </c>
      <c r="C48">
        <v>7.45</v>
      </c>
      <c r="D48">
        <v>10</v>
      </c>
      <c r="E48">
        <v>4.66</v>
      </c>
      <c r="F48">
        <v>0.49099999999999999</v>
      </c>
      <c r="G48">
        <v>0.311</v>
      </c>
      <c r="H48">
        <v>123</v>
      </c>
      <c r="I48">
        <v>24.6</v>
      </c>
      <c r="J48">
        <v>4.07</v>
      </c>
      <c r="K48">
        <v>6.73</v>
      </c>
      <c r="L48">
        <v>2.89</v>
      </c>
      <c r="M48">
        <v>0.95</v>
      </c>
    </row>
    <row r="49" spans="1:13" x14ac:dyDescent="0.25">
      <c r="A49" t="s">
        <v>86</v>
      </c>
      <c r="B49" t="s">
        <v>204</v>
      </c>
      <c r="C49">
        <v>6.76</v>
      </c>
      <c r="D49">
        <v>8</v>
      </c>
      <c r="E49">
        <v>4.17</v>
      </c>
      <c r="F49">
        <v>0.42499999999999999</v>
      </c>
      <c r="G49">
        <v>0.441</v>
      </c>
      <c r="H49">
        <v>64.7</v>
      </c>
      <c r="I49">
        <v>16.2</v>
      </c>
      <c r="J49">
        <v>3.09</v>
      </c>
      <c r="K49">
        <v>4.2699999999999996</v>
      </c>
      <c r="L49">
        <v>2.0499999999999998</v>
      </c>
      <c r="M49">
        <v>0.79500000000000004</v>
      </c>
    </row>
    <row r="50" spans="1:13" x14ac:dyDescent="0.25">
      <c r="A50" t="s">
        <v>86</v>
      </c>
      <c r="B50" t="s">
        <v>205</v>
      </c>
      <c r="C50">
        <v>5.4</v>
      </c>
      <c r="D50">
        <v>8</v>
      </c>
      <c r="E50">
        <v>4</v>
      </c>
      <c r="F50">
        <v>0.42499999999999999</v>
      </c>
      <c r="G50">
        <v>0.27100000000000002</v>
      </c>
      <c r="H50">
        <v>57.5</v>
      </c>
      <c r="I50">
        <v>14.4</v>
      </c>
      <c r="J50">
        <v>3.26</v>
      </c>
      <c r="K50">
        <v>3.69</v>
      </c>
      <c r="L50">
        <v>1.84</v>
      </c>
      <c r="M50">
        <v>0.82699999999999996</v>
      </c>
    </row>
    <row r="51" spans="1:13" x14ac:dyDescent="0.25">
      <c r="A51" t="s">
        <v>86</v>
      </c>
      <c r="B51" t="s">
        <v>206</v>
      </c>
      <c r="C51">
        <v>5.0599999999999996</v>
      </c>
      <c r="D51">
        <v>6</v>
      </c>
      <c r="E51">
        <v>3.57</v>
      </c>
      <c r="F51">
        <v>0.35899999999999999</v>
      </c>
      <c r="G51">
        <v>0.46500000000000002</v>
      </c>
      <c r="H51">
        <v>26.2</v>
      </c>
      <c r="I51">
        <v>8.74</v>
      </c>
      <c r="J51">
        <v>2.2799999999999998</v>
      </c>
      <c r="K51">
        <v>2.29</v>
      </c>
      <c r="L51">
        <v>1.28</v>
      </c>
      <c r="M51">
        <v>0.67300000000000004</v>
      </c>
    </row>
    <row r="52" spans="1:13" x14ac:dyDescent="0.25">
      <c r="A52" t="s">
        <v>86</v>
      </c>
      <c r="B52" t="s">
        <v>207</v>
      </c>
      <c r="C52">
        <v>3.66</v>
      </c>
      <c r="D52">
        <v>6</v>
      </c>
      <c r="E52">
        <v>3.33</v>
      </c>
      <c r="F52">
        <v>0.35899999999999999</v>
      </c>
      <c r="G52">
        <v>0.23200000000000001</v>
      </c>
      <c r="H52">
        <v>22</v>
      </c>
      <c r="I52">
        <v>7.34</v>
      </c>
      <c r="J52">
        <v>2.4500000000000002</v>
      </c>
      <c r="K52">
        <v>1.8</v>
      </c>
      <c r="L52">
        <v>1.08</v>
      </c>
      <c r="M52">
        <v>0.70199999999999996</v>
      </c>
    </row>
    <row r="53" spans="1:13" x14ac:dyDescent="0.25">
      <c r="A53" t="s">
        <v>86</v>
      </c>
      <c r="B53" t="s">
        <v>208</v>
      </c>
      <c r="C53">
        <v>2.93</v>
      </c>
      <c r="D53">
        <v>5</v>
      </c>
      <c r="E53">
        <v>3</v>
      </c>
      <c r="F53">
        <v>0.32600000000000001</v>
      </c>
      <c r="G53">
        <v>0.214</v>
      </c>
      <c r="H53">
        <v>12.3</v>
      </c>
      <c r="I53">
        <v>4.9000000000000004</v>
      </c>
      <c r="J53">
        <v>2.0499999999999998</v>
      </c>
      <c r="K53">
        <v>1.19</v>
      </c>
      <c r="L53">
        <v>0.79500000000000004</v>
      </c>
      <c r="M53">
        <v>0.63800000000000001</v>
      </c>
    </row>
    <row r="54" spans="1:13" x14ac:dyDescent="0.25">
      <c r="A54" t="s">
        <v>86</v>
      </c>
      <c r="B54" t="s">
        <v>209</v>
      </c>
      <c r="C54">
        <v>2.79</v>
      </c>
      <c r="D54">
        <v>4</v>
      </c>
      <c r="E54">
        <v>2.8</v>
      </c>
      <c r="F54">
        <v>0.29299999999999998</v>
      </c>
      <c r="G54">
        <v>0.32600000000000001</v>
      </c>
      <c r="H54">
        <v>6.76</v>
      </c>
      <c r="I54">
        <v>3.38</v>
      </c>
      <c r="J54">
        <v>1.56</v>
      </c>
      <c r="K54">
        <v>0.88700000000000001</v>
      </c>
      <c r="L54">
        <v>0.63500000000000001</v>
      </c>
      <c r="M54">
        <v>0.56399999999999995</v>
      </c>
    </row>
    <row r="55" spans="1:13" x14ac:dyDescent="0.25">
      <c r="A55" t="s">
        <v>86</v>
      </c>
      <c r="B55" t="s">
        <v>210</v>
      </c>
      <c r="C55">
        <v>2.2599999999999998</v>
      </c>
      <c r="D55">
        <v>4</v>
      </c>
      <c r="E55">
        <v>2.66</v>
      </c>
      <c r="F55">
        <v>0.29299999999999998</v>
      </c>
      <c r="G55">
        <v>0.193</v>
      </c>
      <c r="H55">
        <v>6.05</v>
      </c>
      <c r="I55">
        <v>3.03</v>
      </c>
      <c r="J55">
        <v>1.64</v>
      </c>
      <c r="K55">
        <v>0.748</v>
      </c>
      <c r="L55">
        <v>0.56200000000000006</v>
      </c>
      <c r="M55">
        <v>0.57599999999999996</v>
      </c>
    </row>
    <row r="56" spans="1:13" x14ac:dyDescent="0.25">
      <c r="A56" t="s">
        <v>86</v>
      </c>
      <c r="B56" t="s">
        <v>211</v>
      </c>
      <c r="C56">
        <v>2.2000000000000002</v>
      </c>
      <c r="D56">
        <v>3</v>
      </c>
      <c r="E56">
        <v>2.5099999999999998</v>
      </c>
      <c r="F56">
        <v>0.26</v>
      </c>
      <c r="G56">
        <v>0.34899999999999998</v>
      </c>
      <c r="H56">
        <v>2.91</v>
      </c>
      <c r="I56">
        <v>1.94</v>
      </c>
      <c r="J56">
        <v>1.1499999999999999</v>
      </c>
      <c r="K56">
        <v>0.57799999999999996</v>
      </c>
      <c r="L56">
        <v>0.46100000000000002</v>
      </c>
      <c r="M56">
        <v>0.51300000000000001</v>
      </c>
    </row>
    <row r="57" spans="1:13" x14ac:dyDescent="0.25">
      <c r="A57" t="s">
        <v>86</v>
      </c>
      <c r="B57" t="s">
        <v>212</v>
      </c>
      <c r="C57">
        <v>1.66</v>
      </c>
      <c r="D57">
        <v>3</v>
      </c>
      <c r="E57">
        <v>2.33</v>
      </c>
      <c r="F57">
        <v>0.26</v>
      </c>
      <c r="G57">
        <v>0.17</v>
      </c>
      <c r="H57">
        <v>2.5</v>
      </c>
      <c r="I57">
        <v>1.67</v>
      </c>
      <c r="J57">
        <v>1.23</v>
      </c>
      <c r="K57">
        <v>0.44700000000000001</v>
      </c>
      <c r="L57">
        <v>0.38300000000000001</v>
      </c>
      <c r="M57">
        <v>0.51800000000000002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7DF-8A57-474B-9D65-95F9449C4BB1}">
  <sheetPr codeName="Hoja4"/>
  <dimension ref="A1:P57"/>
  <sheetViews>
    <sheetView workbookViewId="0">
      <selection activeCell="D1" sqref="D1:N1048576"/>
    </sheetView>
  </sheetViews>
  <sheetFormatPr baseColWidth="10" defaultRowHeight="15" x14ac:dyDescent="0.25"/>
  <cols>
    <col min="3" max="3" width="14.85546875" bestFit="1" customWidth="1"/>
    <col min="16" max="16" width="11.85546875" bestFit="1" customWidth="1"/>
  </cols>
  <sheetData>
    <row r="1" spans="1:16" x14ac:dyDescent="0.25">
      <c r="A1" t="s">
        <v>0</v>
      </c>
      <c r="B1" t="s">
        <v>11</v>
      </c>
      <c r="C1" t="s">
        <v>2</v>
      </c>
      <c r="D1" t="s">
        <v>12</v>
      </c>
      <c r="E1" t="s">
        <v>13</v>
      </c>
      <c r="F1" t="s">
        <v>14</v>
      </c>
      <c r="G1" t="s">
        <v>15</v>
      </c>
      <c r="H1" t="s">
        <v>3</v>
      </c>
      <c r="I1" t="s">
        <v>4</v>
      </c>
      <c r="J1" t="s">
        <v>5</v>
      </c>
      <c r="K1" t="s">
        <v>7</v>
      </c>
      <c r="L1" t="s">
        <v>8</v>
      </c>
      <c r="M1" t="s">
        <v>9</v>
      </c>
      <c r="N1" t="s">
        <v>213</v>
      </c>
    </row>
    <row r="2" spans="1:16" x14ac:dyDescent="0.25">
      <c r="A2" t="s">
        <v>1</v>
      </c>
      <c r="B2" t="s">
        <v>214</v>
      </c>
      <c r="C2">
        <v>9480</v>
      </c>
      <c r="D2">
        <v>381</v>
      </c>
      <c r="E2">
        <v>94.5</v>
      </c>
      <c r="F2">
        <v>16.5</v>
      </c>
      <c r="G2">
        <v>18.2</v>
      </c>
      <c r="H2">
        <v>168</v>
      </c>
      <c r="I2">
        <v>882</v>
      </c>
      <c r="J2">
        <v>133</v>
      </c>
      <c r="K2">
        <v>4.58</v>
      </c>
      <c r="L2">
        <v>61.8</v>
      </c>
      <c r="M2">
        <v>22</v>
      </c>
      <c r="N2">
        <v>20.3</v>
      </c>
    </row>
    <row r="3" spans="1:16" x14ac:dyDescent="0.25">
      <c r="A3" t="s">
        <v>1</v>
      </c>
      <c r="B3" t="s">
        <v>215</v>
      </c>
      <c r="C3">
        <v>7610</v>
      </c>
      <c r="D3">
        <v>381</v>
      </c>
      <c r="E3">
        <v>89.4</v>
      </c>
      <c r="F3">
        <v>16.5</v>
      </c>
      <c r="G3">
        <v>13.2</v>
      </c>
      <c r="H3">
        <v>145</v>
      </c>
      <c r="I3">
        <v>762</v>
      </c>
      <c r="J3">
        <v>138</v>
      </c>
      <c r="K3">
        <v>3.82</v>
      </c>
      <c r="L3">
        <v>54.7</v>
      </c>
      <c r="M3">
        <v>22.4</v>
      </c>
      <c r="N3">
        <v>19.8</v>
      </c>
      <c r="P3" t="str" cm="1">
        <f t="array" ref="P3">listaPerfiles(B2)</f>
        <v>{"C380X74(SI)","C380X60(SI)","C380X50.4(SI)","C310X45(SI)","C310X37(SI)","C310X30.8(SI)","C250X45(SI)","C250X37(SI)","C250X30(SI)","C250X22.8(SI)","C230X30(SI)","C230X22(SI)","C230X19.9(SI)","C200X27.9(SI)","C200X20.5(SI)","C200X17.1(SI)","C180X18.2(SI)","C180X14.6(SI)","C150X19.3(SI)","C150X15.6(SI)","C150X12.2(SI)","C130X13(SI)","C130X10.4(SI)","C100X10.8(SI)","C100X8(SI)","C75X8.9(SI)","C75X7.4(SI)","C75X6.1(SI)","C15X50(US)","C15X40(US)","C15X33.9(US)","C12X30(US)","C12X25(US)","C12X20.7(US)","C10X30(US)","C10X25(US)","C10X20(US)","C10X15.3(US)","C9X20(US)","C9X15(US)","C9X13.4(US)","C8X18.7(US)","C8X13.7(US)","C8X11.5(US)","C7X12.2(US)","C7X9.8(US)","C6X13(US)","C6X10.5(US)","C6X8.2(US)","C5X9(US)","C5X6.7(US)","C4X7.2(US)","C4X5.4(US)","C3X6(US)","C3X5(US)","C3X4.1(US)"};</v>
      </c>
    </row>
    <row r="4" spans="1:16" x14ac:dyDescent="0.25">
      <c r="A4" t="s">
        <v>1</v>
      </c>
      <c r="B4" t="s">
        <v>216</v>
      </c>
      <c r="C4">
        <v>6450</v>
      </c>
      <c r="D4">
        <v>381</v>
      </c>
      <c r="E4">
        <v>86.4</v>
      </c>
      <c r="F4">
        <v>16.5</v>
      </c>
      <c r="G4">
        <v>10.199999999999999</v>
      </c>
      <c r="H4">
        <v>131</v>
      </c>
      <c r="I4">
        <v>688</v>
      </c>
      <c r="J4">
        <v>143</v>
      </c>
      <c r="K4">
        <v>3.36</v>
      </c>
      <c r="L4">
        <v>50.6</v>
      </c>
      <c r="M4">
        <v>22.9</v>
      </c>
      <c r="N4">
        <v>20</v>
      </c>
      <c r="P4" t="str" cm="1">
        <f t="array" ref="P4">perfilesC(B2)</f>
        <v>{
{{9480_mm^2,168E6_mm^4,4.58E6_mm^4,0_mm^4,20.3_mm},{381_mm,94.5_mm,16.5_mm,18.2_mm}},
{{7610_mm^2,145E6_mm^4,3.82E6_mm^4,0_mm^4,19.8_mm},{381_mm,89.4_mm,16.5_mm,13.2_mm}},
{{6450_mm^2,131E6_mm^4,3.36E6_mm^4,0_mm^4,20_mm},{381_mm,86.4_mm,16.5_mm,10.2_mm}},
{{5680_mm^2,67.4E6_mm^4,2.13E6_mm^4,0_mm^4,17.1_mm},{305_mm,80.5_mm,12.7_mm,13_mm}},
{{4740_mm^2,59.9E6_mm^4,1.85E6_mm^4,0_mm^4,17.1_mm},{305_mm,77.5_mm,12.7_mm,9.83_mm}},
{{3920_mm^2,53.7E6_mm^4,1.61E6_mm^4,0_mm^4,17.7_mm},{305_mm,74.7_mm,12.7_mm,7.16_mm}},
{{5680_mm^2,42.9E6_mm^4,1.64E6_mm^4,0_mm^4,16.5_mm},{254_mm,77_mm,11.1_mm,17.1_mm}},
{{4740_mm^2,37.9E6_mm^4,1.39E6_mm^4,0_mm^4,15.7_mm},{254_mm,73.4_mm,11.1_mm,13.4_mm}},
{{3790_mm^2,32.8E6_mm^4,1.17E6_mm^4,0_mm^4,15.4_mm},{254_mm,69.6_mm,11.1_mm,9.63_mm}},
{{2890_mm^2,28E6_mm^4,0.945E6_mm^4,0_mm^4,16.1_mm},{254_mm,66_mm,11.1_mm,6.1_mm}},
{{3790_mm^2,25.3E6_mm^4,1E6_mm^4,0_mm^4,14.8_mm},{229_mm,67.3_mm,10.5_mm,11.4_mm}},
{{2850_mm^2,21.2E6_mm^4,0.795E6_mm^4,0_mm^4,14.9_mm},{229_mm,63.2_mm,10.5_mm,7.24_mm}},
{{2540_mm^2,19.9E6_mm^4,0.728E6_mm^4,0_mm^4,15.3_mm},{229_mm,61.7_mm,10.5_mm,5.92_mm}},
{{3550_mm^2,18.3E6_mm^4,0.82E6_mm^4,0_mm^4,14.4_mm},{203_mm,64.3_mm,9.91_mm,12.4_mm}},
{{2610_mm^2,15E6_mm^4,0.633E6_mm^4,0_mm^4,14.1_mm},{203_mm,59.4_mm,9.91_mm,7.7_mm}},
{{2170_mm^2,13.5E6_mm^4,0.545E6_mm^4,0_mm^4,14.5_mm},{203_mm,57.4_mm,9.91_mm,5.59_mm}},
{{2320_mm^2,10.1E6_mm^4,0.483E6_mm^4,0_mm^4,13.3_mm},{178_mm,55.6_mm,9.3_mm,7.98_mm}},
{{1850_mm^2,8.82E6_mm^4,0.398E6_mm^4,0_mm^4,13.7_mm},{178_mm,53.1_mm,9.3_mm,5.33_mm}},
{{2460_mm^2,7.2E6_mm^4,0.437E6_mm^4,0_mm^4,13.1_mm},{152_mm,54.9_mm,8.71_mm,11.1_mm}},
{{1990_mm^2,6.29E6_mm^4,0.358E6_mm^4,0_mm^4,12.7_mm},{152_mm,51.6_mm,8.71_mm,7.98_mm}},
{{1540_mm^2,5.45E6_mm^4,0.286E6_mm^4,0_mm^4,13_mm},{152_mm,48.8_mm,8.71_mm,5.08_mm}},
{{1700_mm^2,3.7E6_mm^4,0.26E6_mm^4,0_mm^4,12.1_mm},{127_mm,48_mm,8.13_mm,8.26_mm}},
{{1270_mm^2,3.11E6_mm^4,0.196E6_mm^4,0_mm^4,12.3_mm},{127_mm,44.5_mm,8.13_mm,4.83_mm}},
{{1370_mm^2,1.91E6_mm^4,0.177E6_mm^4,0_mm^4,11.7_mm},{102_mm,43.7_mm,7.52_mm,8.15_mm}},
{{1020_mm^2,1.6E6_mm^4,0.13E6_mm^4,0_mm^4,11.6_mm},{102_mm,40.1_mm,7.52_mm,4.67_mm}},
{{1140_mm^2,0.862E6_mm^4,0.125E6_mm^4,0_mm^4,11.6_mm},{76.2_mm,40.6_mm,6.93_mm,9.04_mm}},
{{948_mm^2,0.77E6_mm^4,0.1E6_mm^4,0_mm^4,11.2_mm},{76.2_mm,38.1_mm,6.93_mm,6.55_mm}},
{{774_mm^2,0.687E6_mm^4,0.0795E6_mm^4,0_mm^4,11.1_mm},{76.2_mm,35.8_mm,6.93_mm,4.32_mm}},
{{14.7_in^2,404_in^4,11_in^4,0_in^4,0.799_in},{15_in,3.72_in,0.65_in,0.716_in}},
{{11.8_in^2,348_in^4,9.17_in^4,0_in^4,0.778_in},{15_in,3.52_in,0.65_in,0.52_in}},
{{10_in^2,315_in^4,8.07_in^4,0_in^4,0.788_in},{15_in,3.4_in,0.65_in,0.4_in}},
{{8.81_in^2,162_in^4,5.12_in^4,0_in^4,0.674_in},{12_in,3.17_in,0.501_in,0.51_in}},
{{7.34_in^2,144_in^4,4.45_in^4,0_in^4,0.674_in},{12_in,3.05_in,0.501_in,0.387_in}},
{{6.08_in^2,129_in^4,3.86_in^4,0_in^4,0.698_in},{12_in,2.94_in,0.501_in,0.282_in}},
{{8.81_in^2,103_in^4,3.93_in^4,0_in^4,0.649_in},{10_in,3.03_in,0.436_in,0.673_in}},
{{7.34_in^2,91.1_in^4,3.34_in^4,0_in^4,0.617_in},{10_in,2.89_in,0.436_in,0.526_in}},
{{5.87_in^2,78.9_in^4,2.8_in^4,0_in^4,0.606_in},{10_in,2.74_in,0.436_in,0.379_in}},
{{4.48_in^2,67.3_in^4,2.27_in^4,0_in^4,0.634_in},{10_in,2.6_in,0.436_in,0.24_in}},
{{5.87_in^2,60.9_in^4,2.41_in^4,0_in^4,0.583_in},{9_in,2.65_in,0.413_in,0.448_in}},
{{4.41_in^2,51_in^4,1.91_in^4,0_in^4,0.586_in},{9_in,2.49_in,0.413_in,0.285_in}},
{{3.94_in^2,47.8_in^4,1.75_in^4,0_in^4,0.601_in},{9_in,2.43_in,0.413_in,0.233_in}},
{{5.51_in^2,43.9_in^4,1.97_in^4,0_in^4,0.565_in},{8_in,2.53_in,0.39_in,0.487_in}},
{{4.04_in^2,36.1_in^4,1.52_in^4,0_in^4,0.554_in},{8_in,2.34_in,0.39_in,0.303_in}},
{{3.37_in^2,32.5_in^4,1.31_in^4,0_in^4,0.572_in},{8_in,2.26_in,0.39_in,0.22_in}},
{{3.6_in^2,24.2_in^4,1.16_in^4,0_in^4,0.525_in},{7_in,2.19_in,0.366_in,0.314_in}},
{{2.87_in^2,21.2_in^4,0.957_in^4,0_in^4,0.541_in},{7_in,2.09_in,0.366_in,0.21_in}},
{{3.81_in^2,17.3_in^4,1.05_in^4,0_in^4,0.514_in},{6_in,2.16_in,0.343_in,0.437_in}},
{{3.08_in^2,15.1_in^4,0.86_in^4,0_in^4,0.5_in},{6_in,2.03_in,0.343_in,0.314_in}},
{{2.39_in^2,13.1_in^4,0.687_in^4,0_in^4,0.512_in},{6_in,1.92_in,0.343_in,0.2_in}},
{{2.64_in^2,8.89_in^4,0.624_in^4,0_in^4,0.478_in},{5_in,1.89_in,0.32_in,0.325_in}},
{{1.97_in^2,7.48_in^4,0.47_in^4,0_in^4,0.484_in},{5_in,1.75_in,0.32_in,0.19_in}},
{{2.13_in^2,4.58_in^4,0.425_in^4,0_in^4,0.459_in},{4_in,1.72_in,0.296_in,0.321_in}},
{{1.58_in^2,3.85_in^4,0.312_in^4,0_in^4,0.457_in},{4_in,1.58_in,0.296_in,0.184_in}},
{{1.76_in^2,2.07_in^4,0.3_in^4,0_in^4,0.455_in},{3_in,1.6_in,0.273_in,0.356_in}},
{{1.47_in^2,1.85_in^4,0.241_in^4,0_in^4,0.439_in},{3_in,1.5_in,0.273_in,0.258_in}},
{{1.2_in^2,1.65_in^4,0.191_in^4,0_in^4,0.437_in},{3_in,1.41_in,0.273_in,0.17_in}}
};</v>
      </c>
    </row>
    <row r="5" spans="1:16" x14ac:dyDescent="0.25">
      <c r="A5" t="s">
        <v>1</v>
      </c>
      <c r="B5" t="s">
        <v>217</v>
      </c>
      <c r="C5">
        <v>5680</v>
      </c>
      <c r="D5">
        <v>305</v>
      </c>
      <c r="E5">
        <v>80.5</v>
      </c>
      <c r="F5">
        <v>12.7</v>
      </c>
      <c r="G5">
        <v>13</v>
      </c>
      <c r="H5">
        <v>67.400000000000006</v>
      </c>
      <c r="I5">
        <v>442</v>
      </c>
      <c r="J5">
        <v>109</v>
      </c>
      <c r="K5">
        <v>2.13</v>
      </c>
      <c r="L5">
        <v>33.6</v>
      </c>
      <c r="M5">
        <v>19.399999999999999</v>
      </c>
      <c r="N5">
        <v>17.100000000000001</v>
      </c>
    </row>
    <row r="6" spans="1:16" x14ac:dyDescent="0.25">
      <c r="A6" t="s">
        <v>1</v>
      </c>
      <c r="B6" t="s">
        <v>218</v>
      </c>
      <c r="C6">
        <v>4740</v>
      </c>
      <c r="D6">
        <v>305</v>
      </c>
      <c r="E6">
        <v>77.5</v>
      </c>
      <c r="F6">
        <v>12.7</v>
      </c>
      <c r="G6">
        <v>9.83</v>
      </c>
      <c r="H6">
        <v>59.9</v>
      </c>
      <c r="I6">
        <v>393</v>
      </c>
      <c r="J6">
        <v>113</v>
      </c>
      <c r="K6">
        <v>1.85</v>
      </c>
      <c r="L6">
        <v>30.6</v>
      </c>
      <c r="M6">
        <v>19.8</v>
      </c>
      <c r="N6">
        <v>17.100000000000001</v>
      </c>
    </row>
    <row r="7" spans="1:16" x14ac:dyDescent="0.25">
      <c r="A7" t="s">
        <v>1</v>
      </c>
      <c r="B7" t="s">
        <v>219</v>
      </c>
      <c r="C7">
        <v>3920</v>
      </c>
      <c r="D7">
        <v>305</v>
      </c>
      <c r="E7">
        <v>74.7</v>
      </c>
      <c r="F7">
        <v>12.7</v>
      </c>
      <c r="G7">
        <v>7.16</v>
      </c>
      <c r="H7">
        <v>53.7</v>
      </c>
      <c r="I7">
        <v>352</v>
      </c>
      <c r="J7">
        <v>117</v>
      </c>
      <c r="K7">
        <v>1.61</v>
      </c>
      <c r="L7">
        <v>28.2</v>
      </c>
      <c r="M7">
        <v>20.2</v>
      </c>
      <c r="N7">
        <v>17.7</v>
      </c>
    </row>
    <row r="8" spans="1:16" x14ac:dyDescent="0.25">
      <c r="A8" t="s">
        <v>1</v>
      </c>
      <c r="B8" t="s">
        <v>220</v>
      </c>
      <c r="C8">
        <v>5680</v>
      </c>
      <c r="D8">
        <v>254</v>
      </c>
      <c r="E8">
        <v>77</v>
      </c>
      <c r="F8">
        <v>11.1</v>
      </c>
      <c r="G8">
        <v>17.100000000000001</v>
      </c>
      <c r="H8">
        <v>42.9</v>
      </c>
      <c r="I8">
        <v>339</v>
      </c>
      <c r="J8">
        <v>86.9</v>
      </c>
      <c r="K8">
        <v>1.64</v>
      </c>
      <c r="L8">
        <v>27</v>
      </c>
      <c r="M8">
        <v>17</v>
      </c>
      <c r="N8">
        <v>16.5</v>
      </c>
    </row>
    <row r="9" spans="1:16" x14ac:dyDescent="0.25">
      <c r="A9" t="s">
        <v>1</v>
      </c>
      <c r="B9" t="s">
        <v>221</v>
      </c>
      <c r="C9">
        <v>4740</v>
      </c>
      <c r="D9">
        <v>254</v>
      </c>
      <c r="E9">
        <v>73.400000000000006</v>
      </c>
      <c r="F9">
        <v>11.1</v>
      </c>
      <c r="G9">
        <v>13.4</v>
      </c>
      <c r="H9">
        <v>37.9</v>
      </c>
      <c r="I9">
        <v>298</v>
      </c>
      <c r="J9">
        <v>89.4</v>
      </c>
      <c r="K9">
        <v>1.39</v>
      </c>
      <c r="L9">
        <v>24.1</v>
      </c>
      <c r="M9">
        <v>17.100000000000001</v>
      </c>
      <c r="N9">
        <v>15.7</v>
      </c>
    </row>
    <row r="10" spans="1:16" x14ac:dyDescent="0.25">
      <c r="A10" t="s">
        <v>1</v>
      </c>
      <c r="B10" t="s">
        <v>222</v>
      </c>
      <c r="C10">
        <v>3790</v>
      </c>
      <c r="D10">
        <v>254</v>
      </c>
      <c r="E10">
        <v>69.599999999999994</v>
      </c>
      <c r="F10">
        <v>11.1</v>
      </c>
      <c r="G10">
        <v>9.6300000000000008</v>
      </c>
      <c r="H10">
        <v>32.799999999999997</v>
      </c>
      <c r="I10">
        <v>259</v>
      </c>
      <c r="J10">
        <v>93</v>
      </c>
      <c r="K10">
        <v>1.17</v>
      </c>
      <c r="L10">
        <v>21.5</v>
      </c>
      <c r="M10">
        <v>17.5</v>
      </c>
      <c r="N10">
        <v>15.4</v>
      </c>
    </row>
    <row r="11" spans="1:16" x14ac:dyDescent="0.25">
      <c r="A11" t="s">
        <v>1</v>
      </c>
      <c r="B11" t="s">
        <v>223</v>
      </c>
      <c r="C11">
        <v>2890</v>
      </c>
      <c r="D11">
        <v>254</v>
      </c>
      <c r="E11">
        <v>66</v>
      </c>
      <c r="F11">
        <v>11.1</v>
      </c>
      <c r="G11">
        <v>6.1</v>
      </c>
      <c r="H11">
        <v>28</v>
      </c>
      <c r="I11">
        <v>221</v>
      </c>
      <c r="J11">
        <v>98.3</v>
      </c>
      <c r="K11">
        <v>0.94499999999999995</v>
      </c>
      <c r="L11">
        <v>18.8</v>
      </c>
      <c r="M11">
        <v>18.100000000000001</v>
      </c>
      <c r="N11">
        <v>16.100000000000001</v>
      </c>
    </row>
    <row r="12" spans="1:16" x14ac:dyDescent="0.25">
      <c r="A12" t="s">
        <v>1</v>
      </c>
      <c r="B12" t="s">
        <v>224</v>
      </c>
      <c r="C12">
        <v>3790</v>
      </c>
      <c r="D12">
        <v>229</v>
      </c>
      <c r="E12">
        <v>67.3</v>
      </c>
      <c r="F12">
        <v>10.5</v>
      </c>
      <c r="G12">
        <v>11.4</v>
      </c>
      <c r="H12">
        <v>25.3</v>
      </c>
      <c r="I12">
        <v>221</v>
      </c>
      <c r="J12">
        <v>81.8</v>
      </c>
      <c r="K12">
        <v>1</v>
      </c>
      <c r="L12">
        <v>19.2</v>
      </c>
      <c r="M12">
        <v>16.3</v>
      </c>
      <c r="N12">
        <v>14.8</v>
      </c>
    </row>
    <row r="13" spans="1:16" x14ac:dyDescent="0.25">
      <c r="A13" t="s">
        <v>1</v>
      </c>
      <c r="B13" t="s">
        <v>225</v>
      </c>
      <c r="C13">
        <v>2850</v>
      </c>
      <c r="D13">
        <v>229</v>
      </c>
      <c r="E13">
        <v>63.2</v>
      </c>
      <c r="F13">
        <v>10.5</v>
      </c>
      <c r="G13">
        <v>7.24</v>
      </c>
      <c r="H13">
        <v>21.2</v>
      </c>
      <c r="I13">
        <v>185</v>
      </c>
      <c r="J13">
        <v>86.4</v>
      </c>
      <c r="K13">
        <v>0.79500000000000004</v>
      </c>
      <c r="L13">
        <v>16.600000000000001</v>
      </c>
      <c r="M13">
        <v>16.7</v>
      </c>
      <c r="N13">
        <v>14.9</v>
      </c>
    </row>
    <row r="14" spans="1:16" x14ac:dyDescent="0.25">
      <c r="A14" t="s">
        <v>1</v>
      </c>
      <c r="B14" t="s">
        <v>226</v>
      </c>
      <c r="C14">
        <v>2540</v>
      </c>
      <c r="D14">
        <v>229</v>
      </c>
      <c r="E14">
        <v>61.7</v>
      </c>
      <c r="F14">
        <v>10.5</v>
      </c>
      <c r="G14">
        <v>5.92</v>
      </c>
      <c r="H14">
        <v>19.899999999999999</v>
      </c>
      <c r="I14">
        <v>174</v>
      </c>
      <c r="J14">
        <v>88.6</v>
      </c>
      <c r="K14">
        <v>0.72799999999999998</v>
      </c>
      <c r="L14">
        <v>15.6</v>
      </c>
      <c r="M14">
        <v>16.899999999999999</v>
      </c>
      <c r="N14">
        <v>15.3</v>
      </c>
    </row>
    <row r="15" spans="1:16" x14ac:dyDescent="0.25">
      <c r="A15" t="s">
        <v>1</v>
      </c>
      <c r="B15" t="s">
        <v>227</v>
      </c>
      <c r="C15">
        <v>3550</v>
      </c>
      <c r="D15">
        <v>203</v>
      </c>
      <c r="E15">
        <v>64.3</v>
      </c>
      <c r="F15">
        <v>9.91</v>
      </c>
      <c r="G15">
        <v>12.4</v>
      </c>
      <c r="H15">
        <v>18.3</v>
      </c>
      <c r="I15">
        <v>180</v>
      </c>
      <c r="J15">
        <v>71.599999999999994</v>
      </c>
      <c r="K15">
        <v>0.82</v>
      </c>
      <c r="L15">
        <v>16.600000000000001</v>
      </c>
      <c r="M15">
        <v>15.2</v>
      </c>
      <c r="N15">
        <v>14.4</v>
      </c>
    </row>
    <row r="16" spans="1:16" x14ac:dyDescent="0.25">
      <c r="A16" t="s">
        <v>1</v>
      </c>
      <c r="B16" t="s">
        <v>228</v>
      </c>
      <c r="C16">
        <v>2610</v>
      </c>
      <c r="D16">
        <v>203</v>
      </c>
      <c r="E16">
        <v>59.4</v>
      </c>
      <c r="F16">
        <v>9.91</v>
      </c>
      <c r="G16">
        <v>7.7</v>
      </c>
      <c r="H16">
        <v>15</v>
      </c>
      <c r="I16">
        <v>148</v>
      </c>
      <c r="J16">
        <v>75.900000000000006</v>
      </c>
      <c r="K16">
        <v>0.63300000000000001</v>
      </c>
      <c r="L16">
        <v>13.9</v>
      </c>
      <c r="M16">
        <v>15.6</v>
      </c>
      <c r="N16">
        <v>14.1</v>
      </c>
    </row>
    <row r="17" spans="1:14" x14ac:dyDescent="0.25">
      <c r="A17" t="s">
        <v>1</v>
      </c>
      <c r="B17" t="s">
        <v>229</v>
      </c>
      <c r="C17">
        <v>2170</v>
      </c>
      <c r="D17">
        <v>203</v>
      </c>
      <c r="E17">
        <v>57.4</v>
      </c>
      <c r="F17">
        <v>9.91</v>
      </c>
      <c r="G17">
        <v>5.59</v>
      </c>
      <c r="H17">
        <v>13.5</v>
      </c>
      <c r="I17">
        <v>133</v>
      </c>
      <c r="J17">
        <v>79</v>
      </c>
      <c r="K17">
        <v>0.54500000000000004</v>
      </c>
      <c r="L17">
        <v>12.7</v>
      </c>
      <c r="M17">
        <v>15.8</v>
      </c>
      <c r="N17">
        <v>14.5</v>
      </c>
    </row>
    <row r="18" spans="1:14" x14ac:dyDescent="0.25">
      <c r="A18" t="s">
        <v>1</v>
      </c>
      <c r="B18" t="s">
        <v>230</v>
      </c>
      <c r="C18">
        <v>2320</v>
      </c>
      <c r="D18">
        <v>178</v>
      </c>
      <c r="E18">
        <v>55.6</v>
      </c>
      <c r="F18">
        <v>9.3000000000000007</v>
      </c>
      <c r="G18">
        <v>7.98</v>
      </c>
      <c r="H18">
        <v>10.1</v>
      </c>
      <c r="I18">
        <v>113</v>
      </c>
      <c r="J18">
        <v>66</v>
      </c>
      <c r="K18">
        <v>0.48299999999999998</v>
      </c>
      <c r="L18">
        <v>11.4</v>
      </c>
      <c r="M18">
        <v>14.4</v>
      </c>
      <c r="N18">
        <v>13.3</v>
      </c>
    </row>
    <row r="19" spans="1:14" x14ac:dyDescent="0.25">
      <c r="A19" t="s">
        <v>1</v>
      </c>
      <c r="B19" t="s">
        <v>231</v>
      </c>
      <c r="C19">
        <v>1850</v>
      </c>
      <c r="D19">
        <v>178</v>
      </c>
      <c r="E19">
        <v>53.1</v>
      </c>
      <c r="F19">
        <v>9.3000000000000007</v>
      </c>
      <c r="G19">
        <v>5.33</v>
      </c>
      <c r="H19">
        <v>8.82</v>
      </c>
      <c r="I19">
        <v>100</v>
      </c>
      <c r="J19">
        <v>69.099999999999994</v>
      </c>
      <c r="K19">
        <v>0.39800000000000002</v>
      </c>
      <c r="L19">
        <v>10.1</v>
      </c>
      <c r="M19">
        <v>14.7</v>
      </c>
      <c r="N19">
        <v>13.7</v>
      </c>
    </row>
    <row r="20" spans="1:14" x14ac:dyDescent="0.25">
      <c r="A20" t="s">
        <v>1</v>
      </c>
      <c r="B20" t="s">
        <v>232</v>
      </c>
      <c r="C20">
        <v>2460</v>
      </c>
      <c r="D20">
        <v>152</v>
      </c>
      <c r="E20">
        <v>54.9</v>
      </c>
      <c r="F20">
        <v>8.7100000000000009</v>
      </c>
      <c r="G20">
        <v>11.1</v>
      </c>
      <c r="H20">
        <v>7.2</v>
      </c>
      <c r="I20">
        <v>94.7</v>
      </c>
      <c r="J20">
        <v>54.1</v>
      </c>
      <c r="K20">
        <v>0.437</v>
      </c>
      <c r="L20">
        <v>10.5</v>
      </c>
      <c r="M20">
        <v>13.3</v>
      </c>
      <c r="N20">
        <v>13.1</v>
      </c>
    </row>
    <row r="21" spans="1:14" x14ac:dyDescent="0.25">
      <c r="A21" t="s">
        <v>1</v>
      </c>
      <c r="B21" t="s">
        <v>233</v>
      </c>
      <c r="C21">
        <v>1990</v>
      </c>
      <c r="D21">
        <v>152</v>
      </c>
      <c r="E21">
        <v>51.6</v>
      </c>
      <c r="F21">
        <v>8.7100000000000009</v>
      </c>
      <c r="G21">
        <v>7.98</v>
      </c>
      <c r="H21">
        <v>6.29</v>
      </c>
      <c r="I21">
        <v>82.6</v>
      </c>
      <c r="J21">
        <v>56.4</v>
      </c>
      <c r="K21">
        <v>0.35799999999999998</v>
      </c>
      <c r="L21">
        <v>9.19</v>
      </c>
      <c r="M21">
        <v>13.4</v>
      </c>
      <c r="N21">
        <v>12.7</v>
      </c>
    </row>
    <row r="22" spans="1:14" x14ac:dyDescent="0.25">
      <c r="A22" t="s">
        <v>1</v>
      </c>
      <c r="B22" t="s">
        <v>234</v>
      </c>
      <c r="C22">
        <v>1540</v>
      </c>
      <c r="D22">
        <v>152</v>
      </c>
      <c r="E22">
        <v>48.8</v>
      </c>
      <c r="F22">
        <v>8.7100000000000009</v>
      </c>
      <c r="G22">
        <v>5.08</v>
      </c>
      <c r="H22">
        <v>5.45</v>
      </c>
      <c r="I22">
        <v>71.3</v>
      </c>
      <c r="J22">
        <v>59.4</v>
      </c>
      <c r="K22">
        <v>0.28599999999999998</v>
      </c>
      <c r="L22">
        <v>8</v>
      </c>
      <c r="M22">
        <v>13.6</v>
      </c>
      <c r="N22">
        <v>13</v>
      </c>
    </row>
    <row r="23" spans="1:14" x14ac:dyDescent="0.25">
      <c r="A23" t="s">
        <v>1</v>
      </c>
      <c r="B23" t="s">
        <v>235</v>
      </c>
      <c r="C23">
        <v>1700</v>
      </c>
      <c r="D23">
        <v>127</v>
      </c>
      <c r="E23">
        <v>48</v>
      </c>
      <c r="F23">
        <v>8.1300000000000008</v>
      </c>
      <c r="G23">
        <v>8.26</v>
      </c>
      <c r="H23">
        <v>3.7</v>
      </c>
      <c r="I23">
        <v>58.3</v>
      </c>
      <c r="J23">
        <v>46.5</v>
      </c>
      <c r="K23">
        <v>0.26</v>
      </c>
      <c r="L23">
        <v>7.28</v>
      </c>
      <c r="M23">
        <v>12.3</v>
      </c>
      <c r="N23">
        <v>12.1</v>
      </c>
    </row>
    <row r="24" spans="1:14" x14ac:dyDescent="0.25">
      <c r="A24" t="s">
        <v>1</v>
      </c>
      <c r="B24" t="s">
        <v>236</v>
      </c>
      <c r="C24">
        <v>1270</v>
      </c>
      <c r="D24">
        <v>127</v>
      </c>
      <c r="E24">
        <v>44.5</v>
      </c>
      <c r="F24">
        <v>8.1300000000000008</v>
      </c>
      <c r="G24">
        <v>4.83</v>
      </c>
      <c r="H24">
        <v>3.11</v>
      </c>
      <c r="I24">
        <v>49</v>
      </c>
      <c r="J24">
        <v>49.5</v>
      </c>
      <c r="K24">
        <v>0.19600000000000001</v>
      </c>
      <c r="L24">
        <v>6.1</v>
      </c>
      <c r="M24">
        <v>12.4</v>
      </c>
      <c r="N24">
        <v>12.3</v>
      </c>
    </row>
    <row r="25" spans="1:14" x14ac:dyDescent="0.25">
      <c r="A25" t="s">
        <v>1</v>
      </c>
      <c r="B25" t="s">
        <v>237</v>
      </c>
      <c r="C25">
        <v>1370</v>
      </c>
      <c r="D25">
        <v>102</v>
      </c>
      <c r="E25">
        <v>43.7</v>
      </c>
      <c r="F25">
        <v>7.52</v>
      </c>
      <c r="G25">
        <v>8.15</v>
      </c>
      <c r="H25">
        <v>1.91</v>
      </c>
      <c r="I25">
        <v>37.5</v>
      </c>
      <c r="J25">
        <v>37.299999999999997</v>
      </c>
      <c r="K25">
        <v>0.17699999999999999</v>
      </c>
      <c r="L25">
        <v>5.52</v>
      </c>
      <c r="M25">
        <v>11.4</v>
      </c>
      <c r="N25">
        <v>11.7</v>
      </c>
    </row>
    <row r="26" spans="1:14" x14ac:dyDescent="0.25">
      <c r="A26" t="s">
        <v>1</v>
      </c>
      <c r="B26" t="s">
        <v>238</v>
      </c>
      <c r="C26">
        <v>1020</v>
      </c>
      <c r="D26">
        <v>102</v>
      </c>
      <c r="E26">
        <v>40.1</v>
      </c>
      <c r="F26">
        <v>7.52</v>
      </c>
      <c r="G26">
        <v>4.67</v>
      </c>
      <c r="H26">
        <v>1.6</v>
      </c>
      <c r="I26">
        <v>31.5</v>
      </c>
      <c r="J26">
        <v>39.6</v>
      </c>
      <c r="K26">
        <v>0.13</v>
      </c>
      <c r="L26">
        <v>4.54</v>
      </c>
      <c r="M26">
        <v>11.3</v>
      </c>
      <c r="N26">
        <v>11.6</v>
      </c>
    </row>
    <row r="27" spans="1:14" x14ac:dyDescent="0.25">
      <c r="A27" t="s">
        <v>1</v>
      </c>
      <c r="B27" t="s">
        <v>239</v>
      </c>
      <c r="C27">
        <v>1140</v>
      </c>
      <c r="D27">
        <v>76.2</v>
      </c>
      <c r="E27">
        <v>40.6</v>
      </c>
      <c r="F27">
        <v>6.93</v>
      </c>
      <c r="G27">
        <v>9.0399999999999991</v>
      </c>
      <c r="H27">
        <v>0.86199999999999999</v>
      </c>
      <c r="I27">
        <v>22.6</v>
      </c>
      <c r="J27">
        <v>27.4</v>
      </c>
      <c r="K27">
        <v>0.125</v>
      </c>
      <c r="L27">
        <v>4.3099999999999996</v>
      </c>
      <c r="M27">
        <v>10.5</v>
      </c>
      <c r="N27">
        <v>11.6</v>
      </c>
    </row>
    <row r="28" spans="1:14" x14ac:dyDescent="0.25">
      <c r="A28" t="s">
        <v>1</v>
      </c>
      <c r="B28" t="s">
        <v>240</v>
      </c>
      <c r="C28">
        <v>948</v>
      </c>
      <c r="D28">
        <v>76.2</v>
      </c>
      <c r="E28">
        <v>38.1</v>
      </c>
      <c r="F28">
        <v>6.93</v>
      </c>
      <c r="G28">
        <v>6.55</v>
      </c>
      <c r="H28">
        <v>0.77</v>
      </c>
      <c r="I28">
        <v>20.2</v>
      </c>
      <c r="J28">
        <v>28.4</v>
      </c>
      <c r="K28">
        <v>0.1</v>
      </c>
      <c r="L28">
        <v>3.74</v>
      </c>
      <c r="M28">
        <v>10.3</v>
      </c>
      <c r="N28">
        <v>11.2</v>
      </c>
    </row>
    <row r="29" spans="1:14" x14ac:dyDescent="0.25">
      <c r="A29" t="s">
        <v>1</v>
      </c>
      <c r="B29" t="s">
        <v>241</v>
      </c>
      <c r="C29">
        <v>774</v>
      </c>
      <c r="D29">
        <v>76.2</v>
      </c>
      <c r="E29">
        <v>35.799999999999997</v>
      </c>
      <c r="F29">
        <v>6.93</v>
      </c>
      <c r="G29">
        <v>4.32</v>
      </c>
      <c r="H29">
        <v>0.68700000000000006</v>
      </c>
      <c r="I29">
        <v>18</v>
      </c>
      <c r="J29">
        <v>29.7</v>
      </c>
      <c r="K29">
        <v>7.9500000000000001E-2</v>
      </c>
      <c r="L29">
        <v>3.21</v>
      </c>
      <c r="M29">
        <v>10.1</v>
      </c>
      <c r="N29">
        <v>11.1</v>
      </c>
    </row>
    <row r="30" spans="1:14" x14ac:dyDescent="0.25">
      <c r="A30" t="s">
        <v>86</v>
      </c>
      <c r="B30" t="s">
        <v>242</v>
      </c>
      <c r="C30">
        <v>14.7</v>
      </c>
      <c r="D30">
        <v>15</v>
      </c>
      <c r="E30">
        <v>3.72</v>
      </c>
      <c r="F30">
        <v>0.65</v>
      </c>
      <c r="G30">
        <v>0.71599999999999997</v>
      </c>
      <c r="H30">
        <v>404</v>
      </c>
      <c r="I30">
        <v>53.8</v>
      </c>
      <c r="J30">
        <v>5.24</v>
      </c>
      <c r="K30">
        <v>11</v>
      </c>
      <c r="L30">
        <v>3.77</v>
      </c>
      <c r="M30">
        <v>0.86499999999999999</v>
      </c>
      <c r="N30">
        <v>0.79900000000000004</v>
      </c>
    </row>
    <row r="31" spans="1:14" x14ac:dyDescent="0.25">
      <c r="A31" t="s">
        <v>86</v>
      </c>
      <c r="B31" t="s">
        <v>243</v>
      </c>
      <c r="C31">
        <v>11.8</v>
      </c>
      <c r="D31">
        <v>15</v>
      </c>
      <c r="E31">
        <v>3.52</v>
      </c>
      <c r="F31">
        <v>0.65</v>
      </c>
      <c r="G31">
        <v>0.52</v>
      </c>
      <c r="H31">
        <v>348</v>
      </c>
      <c r="I31">
        <v>46.5</v>
      </c>
      <c r="J31">
        <v>5.45</v>
      </c>
      <c r="K31">
        <v>9.17</v>
      </c>
      <c r="L31">
        <v>3.34</v>
      </c>
      <c r="M31">
        <v>0.88300000000000001</v>
      </c>
      <c r="N31">
        <v>0.77800000000000002</v>
      </c>
    </row>
    <row r="32" spans="1:14" x14ac:dyDescent="0.25">
      <c r="A32" t="s">
        <v>86</v>
      </c>
      <c r="B32" t="s">
        <v>244</v>
      </c>
      <c r="C32">
        <v>10</v>
      </c>
      <c r="D32">
        <v>15</v>
      </c>
      <c r="E32">
        <v>3.4</v>
      </c>
      <c r="F32">
        <v>0.65</v>
      </c>
      <c r="G32">
        <v>0.4</v>
      </c>
      <c r="H32">
        <v>315</v>
      </c>
      <c r="I32">
        <v>42</v>
      </c>
      <c r="J32">
        <v>5.62</v>
      </c>
      <c r="K32">
        <v>8.07</v>
      </c>
      <c r="L32">
        <v>3.09</v>
      </c>
      <c r="M32">
        <v>0.90100000000000002</v>
      </c>
      <c r="N32">
        <v>0.78800000000000003</v>
      </c>
    </row>
    <row r="33" spans="1:14" x14ac:dyDescent="0.25">
      <c r="A33" t="s">
        <v>86</v>
      </c>
      <c r="B33" t="s">
        <v>245</v>
      </c>
      <c r="C33">
        <v>8.81</v>
      </c>
      <c r="D33">
        <v>12</v>
      </c>
      <c r="E33">
        <v>3.17</v>
      </c>
      <c r="F33">
        <v>0.501</v>
      </c>
      <c r="G33">
        <v>0.51</v>
      </c>
      <c r="H33">
        <v>162</v>
      </c>
      <c r="I33">
        <v>27</v>
      </c>
      <c r="J33">
        <v>4.29</v>
      </c>
      <c r="K33">
        <v>5.12</v>
      </c>
      <c r="L33">
        <v>2.0499999999999998</v>
      </c>
      <c r="M33">
        <v>0.76200000000000001</v>
      </c>
      <c r="N33">
        <v>0.67400000000000004</v>
      </c>
    </row>
    <row r="34" spans="1:14" x14ac:dyDescent="0.25">
      <c r="A34" t="s">
        <v>86</v>
      </c>
      <c r="B34" t="s">
        <v>246</v>
      </c>
      <c r="C34">
        <v>7.34</v>
      </c>
      <c r="D34">
        <v>12</v>
      </c>
      <c r="E34">
        <v>3.05</v>
      </c>
      <c r="F34">
        <v>0.501</v>
      </c>
      <c r="G34">
        <v>0.38700000000000001</v>
      </c>
      <c r="H34">
        <v>144</v>
      </c>
      <c r="I34">
        <v>24</v>
      </c>
      <c r="J34">
        <v>4.43</v>
      </c>
      <c r="K34">
        <v>4.45</v>
      </c>
      <c r="L34">
        <v>1.87</v>
      </c>
      <c r="M34">
        <v>0.77900000000000003</v>
      </c>
      <c r="N34">
        <v>0.67400000000000004</v>
      </c>
    </row>
    <row r="35" spans="1:14" x14ac:dyDescent="0.25">
      <c r="A35" t="s">
        <v>86</v>
      </c>
      <c r="B35" t="s">
        <v>247</v>
      </c>
      <c r="C35">
        <v>6.08</v>
      </c>
      <c r="D35">
        <v>12</v>
      </c>
      <c r="E35">
        <v>2.94</v>
      </c>
      <c r="F35">
        <v>0.501</v>
      </c>
      <c r="G35">
        <v>0.28199999999999997</v>
      </c>
      <c r="H35">
        <v>129</v>
      </c>
      <c r="I35">
        <v>21.5</v>
      </c>
      <c r="J35">
        <v>4.6100000000000003</v>
      </c>
      <c r="K35">
        <v>3.86</v>
      </c>
      <c r="L35">
        <v>1.72</v>
      </c>
      <c r="M35">
        <v>0.79700000000000004</v>
      </c>
      <c r="N35">
        <v>0.69799999999999995</v>
      </c>
    </row>
    <row r="36" spans="1:14" x14ac:dyDescent="0.25">
      <c r="A36" t="s">
        <v>86</v>
      </c>
      <c r="B36" t="s">
        <v>248</v>
      </c>
      <c r="C36">
        <v>8.81</v>
      </c>
      <c r="D36">
        <v>10</v>
      </c>
      <c r="E36">
        <v>3.03</v>
      </c>
      <c r="F36">
        <v>0.436</v>
      </c>
      <c r="G36">
        <v>0.67300000000000004</v>
      </c>
      <c r="H36">
        <v>103</v>
      </c>
      <c r="I36">
        <v>20.7</v>
      </c>
      <c r="J36">
        <v>3.42</v>
      </c>
      <c r="K36">
        <v>3.93</v>
      </c>
      <c r="L36">
        <v>1.65</v>
      </c>
      <c r="M36">
        <v>0.66800000000000004</v>
      </c>
      <c r="N36">
        <v>0.64900000000000002</v>
      </c>
    </row>
    <row r="37" spans="1:14" x14ac:dyDescent="0.25">
      <c r="A37" t="s">
        <v>86</v>
      </c>
      <c r="B37" t="s">
        <v>249</v>
      </c>
      <c r="C37">
        <v>7.34</v>
      </c>
      <c r="D37">
        <v>10</v>
      </c>
      <c r="E37">
        <v>2.89</v>
      </c>
      <c r="F37">
        <v>0.436</v>
      </c>
      <c r="G37">
        <v>0.52600000000000002</v>
      </c>
      <c r="H37">
        <v>91.1</v>
      </c>
      <c r="I37">
        <v>18.2</v>
      </c>
      <c r="J37">
        <v>3.52</v>
      </c>
      <c r="K37">
        <v>3.34</v>
      </c>
      <c r="L37">
        <v>1.47</v>
      </c>
      <c r="M37">
        <v>0.67500000000000004</v>
      </c>
      <c r="N37">
        <v>0.61699999999999999</v>
      </c>
    </row>
    <row r="38" spans="1:14" x14ac:dyDescent="0.25">
      <c r="A38" t="s">
        <v>86</v>
      </c>
      <c r="B38" t="s">
        <v>250</v>
      </c>
      <c r="C38">
        <v>5.87</v>
      </c>
      <c r="D38">
        <v>10</v>
      </c>
      <c r="E38">
        <v>2.74</v>
      </c>
      <c r="F38">
        <v>0.436</v>
      </c>
      <c r="G38">
        <v>0.379</v>
      </c>
      <c r="H38">
        <v>78.900000000000006</v>
      </c>
      <c r="I38">
        <v>15.8</v>
      </c>
      <c r="J38">
        <v>3.66</v>
      </c>
      <c r="K38">
        <v>2.8</v>
      </c>
      <c r="L38">
        <v>1.31</v>
      </c>
      <c r="M38">
        <v>0.69</v>
      </c>
      <c r="N38">
        <v>0.60599999999999998</v>
      </c>
    </row>
    <row r="39" spans="1:14" x14ac:dyDescent="0.25">
      <c r="A39" t="s">
        <v>86</v>
      </c>
      <c r="B39" t="s">
        <v>251</v>
      </c>
      <c r="C39">
        <v>4.4800000000000004</v>
      </c>
      <c r="D39">
        <v>10</v>
      </c>
      <c r="E39">
        <v>2.6</v>
      </c>
      <c r="F39">
        <v>0.436</v>
      </c>
      <c r="G39">
        <v>0.24</v>
      </c>
      <c r="H39">
        <v>67.3</v>
      </c>
      <c r="I39">
        <v>13.5</v>
      </c>
      <c r="J39">
        <v>3.87</v>
      </c>
      <c r="K39">
        <v>2.27</v>
      </c>
      <c r="L39">
        <v>1.1499999999999999</v>
      </c>
      <c r="M39">
        <v>0.71099999999999997</v>
      </c>
      <c r="N39">
        <v>0.63400000000000001</v>
      </c>
    </row>
    <row r="40" spans="1:14" x14ac:dyDescent="0.25">
      <c r="A40" t="s">
        <v>86</v>
      </c>
      <c r="B40" t="s">
        <v>252</v>
      </c>
      <c r="C40">
        <v>5.87</v>
      </c>
      <c r="D40">
        <v>9</v>
      </c>
      <c r="E40">
        <v>2.65</v>
      </c>
      <c r="F40">
        <v>0.41299999999999998</v>
      </c>
      <c r="G40">
        <v>0.44800000000000001</v>
      </c>
      <c r="H40">
        <v>60.9</v>
      </c>
      <c r="I40">
        <v>13.5</v>
      </c>
      <c r="J40">
        <v>3.22</v>
      </c>
      <c r="K40">
        <v>2.41</v>
      </c>
      <c r="L40">
        <v>1.17</v>
      </c>
      <c r="M40">
        <v>0.64</v>
      </c>
      <c r="N40">
        <v>0.58299999999999996</v>
      </c>
    </row>
    <row r="41" spans="1:14" x14ac:dyDescent="0.25">
      <c r="A41" t="s">
        <v>86</v>
      </c>
      <c r="B41" t="s">
        <v>253</v>
      </c>
      <c r="C41">
        <v>4.41</v>
      </c>
      <c r="D41">
        <v>9</v>
      </c>
      <c r="E41">
        <v>2.4900000000000002</v>
      </c>
      <c r="F41">
        <v>0.41299999999999998</v>
      </c>
      <c r="G41">
        <v>0.28499999999999998</v>
      </c>
      <c r="H41">
        <v>51</v>
      </c>
      <c r="I41">
        <v>11.3</v>
      </c>
      <c r="J41">
        <v>3.4</v>
      </c>
      <c r="K41">
        <v>1.91</v>
      </c>
      <c r="L41">
        <v>1.01</v>
      </c>
      <c r="M41">
        <v>0.65900000000000003</v>
      </c>
      <c r="N41">
        <v>0.58599999999999997</v>
      </c>
    </row>
    <row r="42" spans="1:14" x14ac:dyDescent="0.25">
      <c r="A42" t="s">
        <v>86</v>
      </c>
      <c r="B42" t="s">
        <v>254</v>
      </c>
      <c r="C42">
        <v>3.94</v>
      </c>
      <c r="D42">
        <v>9</v>
      </c>
      <c r="E42">
        <v>2.4300000000000002</v>
      </c>
      <c r="F42">
        <v>0.41299999999999998</v>
      </c>
      <c r="G42">
        <v>0.23300000000000001</v>
      </c>
      <c r="H42">
        <v>47.8</v>
      </c>
      <c r="I42">
        <v>10.6</v>
      </c>
      <c r="J42">
        <v>3.49</v>
      </c>
      <c r="K42">
        <v>1.75</v>
      </c>
      <c r="L42">
        <v>0.95399999999999996</v>
      </c>
      <c r="M42">
        <v>0.66600000000000004</v>
      </c>
      <c r="N42">
        <v>0.60099999999999998</v>
      </c>
    </row>
    <row r="43" spans="1:14" x14ac:dyDescent="0.25">
      <c r="A43" t="s">
        <v>86</v>
      </c>
      <c r="B43" t="s">
        <v>255</v>
      </c>
      <c r="C43">
        <v>5.51</v>
      </c>
      <c r="D43">
        <v>8</v>
      </c>
      <c r="E43">
        <v>2.5299999999999998</v>
      </c>
      <c r="F43">
        <v>0.39</v>
      </c>
      <c r="G43">
        <v>0.48699999999999999</v>
      </c>
      <c r="H43">
        <v>43.9</v>
      </c>
      <c r="I43">
        <v>11</v>
      </c>
      <c r="J43">
        <v>2.82</v>
      </c>
      <c r="K43">
        <v>1.97</v>
      </c>
      <c r="L43">
        <v>1.01</v>
      </c>
      <c r="M43">
        <v>0.59799999999999998</v>
      </c>
      <c r="N43">
        <v>0.56499999999999995</v>
      </c>
    </row>
    <row r="44" spans="1:14" x14ac:dyDescent="0.25">
      <c r="A44" t="s">
        <v>86</v>
      </c>
      <c r="B44" t="s">
        <v>256</v>
      </c>
      <c r="C44">
        <v>4.04</v>
      </c>
      <c r="D44">
        <v>8</v>
      </c>
      <c r="E44">
        <v>2.34</v>
      </c>
      <c r="F44">
        <v>0.39</v>
      </c>
      <c r="G44">
        <v>0.30299999999999999</v>
      </c>
      <c r="H44">
        <v>36.1</v>
      </c>
      <c r="I44">
        <v>9.02</v>
      </c>
      <c r="J44">
        <v>2.99</v>
      </c>
      <c r="K44">
        <v>1.52</v>
      </c>
      <c r="L44">
        <v>0.84799999999999998</v>
      </c>
      <c r="M44">
        <v>0.61299999999999999</v>
      </c>
      <c r="N44">
        <v>0.55400000000000005</v>
      </c>
    </row>
    <row r="45" spans="1:14" x14ac:dyDescent="0.25">
      <c r="A45" t="s">
        <v>86</v>
      </c>
      <c r="B45" t="s">
        <v>257</v>
      </c>
      <c r="C45">
        <v>3.37</v>
      </c>
      <c r="D45">
        <v>8</v>
      </c>
      <c r="E45">
        <v>2.2599999999999998</v>
      </c>
      <c r="F45">
        <v>0.39</v>
      </c>
      <c r="G45">
        <v>0.22</v>
      </c>
      <c r="H45">
        <v>32.5</v>
      </c>
      <c r="I45">
        <v>8.14</v>
      </c>
      <c r="J45">
        <v>3.11</v>
      </c>
      <c r="K45">
        <v>1.31</v>
      </c>
      <c r="L45">
        <v>0.77500000000000002</v>
      </c>
      <c r="M45">
        <v>0.623</v>
      </c>
      <c r="N45">
        <v>0.57199999999999995</v>
      </c>
    </row>
    <row r="46" spans="1:14" x14ac:dyDescent="0.25">
      <c r="A46" t="s">
        <v>86</v>
      </c>
      <c r="B46" t="s">
        <v>258</v>
      </c>
      <c r="C46">
        <v>3.6</v>
      </c>
      <c r="D46">
        <v>7</v>
      </c>
      <c r="E46">
        <v>2.19</v>
      </c>
      <c r="F46">
        <v>0.36599999999999999</v>
      </c>
      <c r="G46">
        <v>0.314</v>
      </c>
      <c r="H46">
        <v>24.2</v>
      </c>
      <c r="I46">
        <v>6.92</v>
      </c>
      <c r="J46">
        <v>2.6</v>
      </c>
      <c r="K46">
        <v>1.1599999999999999</v>
      </c>
      <c r="L46">
        <v>0.69599999999999995</v>
      </c>
      <c r="M46">
        <v>0.56799999999999995</v>
      </c>
      <c r="N46">
        <v>0.52500000000000002</v>
      </c>
    </row>
    <row r="47" spans="1:14" x14ac:dyDescent="0.25">
      <c r="A47" t="s">
        <v>86</v>
      </c>
      <c r="B47" t="s">
        <v>259</v>
      </c>
      <c r="C47">
        <v>2.87</v>
      </c>
      <c r="D47">
        <v>7</v>
      </c>
      <c r="E47">
        <v>2.09</v>
      </c>
      <c r="F47">
        <v>0.36599999999999999</v>
      </c>
      <c r="G47">
        <v>0.21</v>
      </c>
      <c r="H47">
        <v>21.2</v>
      </c>
      <c r="I47">
        <v>6.07</v>
      </c>
      <c r="J47">
        <v>2.72</v>
      </c>
      <c r="K47">
        <v>0.95699999999999996</v>
      </c>
      <c r="L47">
        <v>0.61699999999999999</v>
      </c>
      <c r="M47">
        <v>0.57799999999999996</v>
      </c>
      <c r="N47">
        <v>0.54100000000000004</v>
      </c>
    </row>
    <row r="48" spans="1:14" x14ac:dyDescent="0.25">
      <c r="A48" t="s">
        <v>86</v>
      </c>
      <c r="B48" t="s">
        <v>260</v>
      </c>
      <c r="C48">
        <v>3.81</v>
      </c>
      <c r="D48">
        <v>6</v>
      </c>
      <c r="E48">
        <v>2.16</v>
      </c>
      <c r="F48">
        <v>0.34300000000000003</v>
      </c>
      <c r="G48">
        <v>0.437</v>
      </c>
      <c r="H48">
        <v>17.3</v>
      </c>
      <c r="I48">
        <v>5.78</v>
      </c>
      <c r="J48">
        <v>2.13</v>
      </c>
      <c r="K48">
        <v>1.05</v>
      </c>
      <c r="L48">
        <v>0.63800000000000001</v>
      </c>
      <c r="M48">
        <v>0.52400000000000002</v>
      </c>
      <c r="N48">
        <v>0.51400000000000001</v>
      </c>
    </row>
    <row r="49" spans="1:14" x14ac:dyDescent="0.25">
      <c r="A49" t="s">
        <v>86</v>
      </c>
      <c r="B49" t="s">
        <v>261</v>
      </c>
      <c r="C49">
        <v>3.08</v>
      </c>
      <c r="D49">
        <v>6</v>
      </c>
      <c r="E49">
        <v>2.0299999999999998</v>
      </c>
      <c r="F49">
        <v>0.34300000000000003</v>
      </c>
      <c r="G49">
        <v>0.314</v>
      </c>
      <c r="H49">
        <v>15.1</v>
      </c>
      <c r="I49">
        <v>5.04</v>
      </c>
      <c r="J49">
        <v>2.2200000000000002</v>
      </c>
      <c r="K49">
        <v>0.86</v>
      </c>
      <c r="L49">
        <v>0.56100000000000005</v>
      </c>
      <c r="M49">
        <v>0.52900000000000003</v>
      </c>
      <c r="N49">
        <v>0.5</v>
      </c>
    </row>
    <row r="50" spans="1:14" x14ac:dyDescent="0.25">
      <c r="A50" t="s">
        <v>86</v>
      </c>
      <c r="B50" t="s">
        <v>262</v>
      </c>
      <c r="C50">
        <v>2.39</v>
      </c>
      <c r="D50">
        <v>6</v>
      </c>
      <c r="E50">
        <v>1.92</v>
      </c>
      <c r="F50">
        <v>0.34300000000000003</v>
      </c>
      <c r="G50">
        <v>0.2</v>
      </c>
      <c r="H50">
        <v>13.1</v>
      </c>
      <c r="I50">
        <v>4.3499999999999996</v>
      </c>
      <c r="J50">
        <v>2.34</v>
      </c>
      <c r="K50">
        <v>0.68700000000000006</v>
      </c>
      <c r="L50">
        <v>0.48799999999999999</v>
      </c>
      <c r="M50">
        <v>0.53600000000000003</v>
      </c>
      <c r="N50">
        <v>0.51200000000000001</v>
      </c>
    </row>
    <row r="51" spans="1:14" x14ac:dyDescent="0.25">
      <c r="A51" t="s">
        <v>86</v>
      </c>
      <c r="B51" t="s">
        <v>263</v>
      </c>
      <c r="C51">
        <v>2.64</v>
      </c>
      <c r="D51">
        <v>5</v>
      </c>
      <c r="E51">
        <v>1.89</v>
      </c>
      <c r="F51">
        <v>0.32</v>
      </c>
      <c r="G51">
        <v>0.32500000000000001</v>
      </c>
      <c r="H51">
        <v>8.89</v>
      </c>
      <c r="I51">
        <v>3.56</v>
      </c>
      <c r="J51">
        <v>1.83</v>
      </c>
      <c r="K51">
        <v>0.624</v>
      </c>
      <c r="L51">
        <v>0.44400000000000001</v>
      </c>
      <c r="M51">
        <v>0.48599999999999999</v>
      </c>
      <c r="N51">
        <v>0.47799999999999998</v>
      </c>
    </row>
    <row r="52" spans="1:14" x14ac:dyDescent="0.25">
      <c r="A52" t="s">
        <v>86</v>
      </c>
      <c r="B52" t="s">
        <v>264</v>
      </c>
      <c r="C52">
        <v>1.97</v>
      </c>
      <c r="D52">
        <v>5</v>
      </c>
      <c r="E52">
        <v>1.75</v>
      </c>
      <c r="F52">
        <v>0.32</v>
      </c>
      <c r="G52">
        <v>0.19</v>
      </c>
      <c r="H52">
        <v>7.48</v>
      </c>
      <c r="I52">
        <v>2.99</v>
      </c>
      <c r="J52">
        <v>1.95</v>
      </c>
      <c r="K52">
        <v>0.47</v>
      </c>
      <c r="L52">
        <v>0.372</v>
      </c>
      <c r="M52">
        <v>0.48899999999999999</v>
      </c>
      <c r="N52">
        <v>0.48399999999999999</v>
      </c>
    </row>
    <row r="53" spans="1:14" x14ac:dyDescent="0.25">
      <c r="A53" t="s">
        <v>86</v>
      </c>
      <c r="B53" t="s">
        <v>265</v>
      </c>
      <c r="C53">
        <v>2.13</v>
      </c>
      <c r="D53">
        <v>4</v>
      </c>
      <c r="E53">
        <v>1.72</v>
      </c>
      <c r="F53">
        <v>0.29599999999999999</v>
      </c>
      <c r="G53">
        <v>0.32100000000000001</v>
      </c>
      <c r="H53">
        <v>4.58</v>
      </c>
      <c r="I53">
        <v>2.29</v>
      </c>
      <c r="J53">
        <v>1.47</v>
      </c>
      <c r="K53">
        <v>0.42499999999999999</v>
      </c>
      <c r="L53">
        <v>0.33700000000000002</v>
      </c>
      <c r="M53">
        <v>0.44700000000000001</v>
      </c>
      <c r="N53">
        <v>0.45900000000000002</v>
      </c>
    </row>
    <row r="54" spans="1:14" x14ac:dyDescent="0.25">
      <c r="A54" t="s">
        <v>86</v>
      </c>
      <c r="B54" t="s">
        <v>266</v>
      </c>
      <c r="C54">
        <v>1.58</v>
      </c>
      <c r="D54">
        <v>4</v>
      </c>
      <c r="E54">
        <v>1.58</v>
      </c>
      <c r="F54">
        <v>0.29599999999999999</v>
      </c>
      <c r="G54">
        <v>0.184</v>
      </c>
      <c r="H54">
        <v>3.85</v>
      </c>
      <c r="I54">
        <v>1.92</v>
      </c>
      <c r="J54">
        <v>1.56</v>
      </c>
      <c r="K54">
        <v>0.312</v>
      </c>
      <c r="L54">
        <v>0.27700000000000002</v>
      </c>
      <c r="M54">
        <v>0.44400000000000001</v>
      </c>
      <c r="N54">
        <v>0.45700000000000002</v>
      </c>
    </row>
    <row r="55" spans="1:14" x14ac:dyDescent="0.25">
      <c r="A55" t="s">
        <v>86</v>
      </c>
      <c r="B55" t="s">
        <v>267</v>
      </c>
      <c r="C55">
        <v>1.76</v>
      </c>
      <c r="D55">
        <v>3</v>
      </c>
      <c r="E55">
        <v>1.6</v>
      </c>
      <c r="F55">
        <v>0.27300000000000002</v>
      </c>
      <c r="G55">
        <v>0.35599999999999998</v>
      </c>
      <c r="H55">
        <v>2.0699999999999998</v>
      </c>
      <c r="I55">
        <v>1.38</v>
      </c>
      <c r="J55">
        <v>1.08</v>
      </c>
      <c r="K55">
        <v>0.3</v>
      </c>
      <c r="L55">
        <v>0.26300000000000001</v>
      </c>
      <c r="M55">
        <v>0.41299999999999998</v>
      </c>
      <c r="N55">
        <v>0.45500000000000002</v>
      </c>
    </row>
    <row r="56" spans="1:14" x14ac:dyDescent="0.25">
      <c r="A56" t="s">
        <v>86</v>
      </c>
      <c r="B56" t="s">
        <v>268</v>
      </c>
      <c r="C56">
        <v>1.47</v>
      </c>
      <c r="D56">
        <v>3</v>
      </c>
      <c r="E56">
        <v>1.5</v>
      </c>
      <c r="F56">
        <v>0.27300000000000002</v>
      </c>
      <c r="G56">
        <v>0.25800000000000001</v>
      </c>
      <c r="H56">
        <v>1.85</v>
      </c>
      <c r="I56">
        <v>1.23</v>
      </c>
      <c r="J56">
        <v>1.1200000000000001</v>
      </c>
      <c r="K56">
        <v>0.24099999999999999</v>
      </c>
      <c r="L56">
        <v>0.22800000000000001</v>
      </c>
      <c r="M56">
        <v>0.40500000000000003</v>
      </c>
      <c r="N56">
        <v>0.439</v>
      </c>
    </row>
    <row r="57" spans="1:14" x14ac:dyDescent="0.25">
      <c r="A57" t="s">
        <v>86</v>
      </c>
      <c r="B57" t="s">
        <v>269</v>
      </c>
      <c r="C57">
        <v>1.2</v>
      </c>
      <c r="D57">
        <v>3</v>
      </c>
      <c r="E57">
        <v>1.41</v>
      </c>
      <c r="F57">
        <v>0.27300000000000002</v>
      </c>
      <c r="G57">
        <v>0.17</v>
      </c>
      <c r="H57">
        <v>1.65</v>
      </c>
      <c r="I57">
        <v>1.1000000000000001</v>
      </c>
      <c r="J57">
        <v>1.17</v>
      </c>
      <c r="K57">
        <v>0.191</v>
      </c>
      <c r="L57">
        <v>0.19600000000000001</v>
      </c>
      <c r="M57">
        <v>0.39800000000000002</v>
      </c>
      <c r="N57">
        <v>0.437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2C570-EA88-4A4F-8D2C-C7D6C69812F0}">
  <sheetPr codeName="Hoja5"/>
  <dimension ref="A1:N61"/>
  <sheetViews>
    <sheetView workbookViewId="0">
      <selection activeCell="N4" sqref="N4"/>
    </sheetView>
  </sheetViews>
  <sheetFormatPr baseColWidth="10" defaultRowHeight="15" x14ac:dyDescent="0.25"/>
  <cols>
    <col min="2" max="3" width="16.140625" customWidth="1"/>
    <col min="6" max="6" width="14.85546875" bestFit="1" customWidth="1"/>
    <col min="12" max="12" width="18.140625" style="1" customWidth="1"/>
    <col min="13" max="13" width="18.140625" customWidth="1"/>
    <col min="14" max="14" width="11.85546875" bestFit="1" customWidth="1"/>
  </cols>
  <sheetData>
    <row r="1" spans="1:14" x14ac:dyDescent="0.25">
      <c r="A1" t="s">
        <v>0</v>
      </c>
      <c r="B1" t="s">
        <v>11</v>
      </c>
      <c r="C1" t="s">
        <v>12</v>
      </c>
      <c r="D1" t="s">
        <v>14</v>
      </c>
      <c r="E1" t="s">
        <v>270</v>
      </c>
      <c r="F1" t="s">
        <v>2</v>
      </c>
      <c r="G1" t="s">
        <v>272</v>
      </c>
      <c r="H1" t="s">
        <v>271</v>
      </c>
      <c r="I1" t="s">
        <v>273</v>
      </c>
      <c r="J1" t="s">
        <v>213</v>
      </c>
      <c r="K1" t="s">
        <v>274</v>
      </c>
      <c r="L1" s="1" t="s">
        <v>275</v>
      </c>
    </row>
    <row r="2" spans="1:14" x14ac:dyDescent="0.25">
      <c r="A2" t="s">
        <v>1</v>
      </c>
      <c r="B2" t="s">
        <v>276</v>
      </c>
      <c r="C2">
        <v>203</v>
      </c>
      <c r="D2">
        <v>25.4</v>
      </c>
      <c r="E2">
        <v>75.900000000000006</v>
      </c>
      <c r="F2">
        <v>9680</v>
      </c>
      <c r="G2">
        <v>37.1</v>
      </c>
      <c r="H2">
        <v>259</v>
      </c>
      <c r="I2">
        <v>61.7</v>
      </c>
      <c r="J2">
        <v>59.9</v>
      </c>
      <c r="K2">
        <v>39.6</v>
      </c>
      <c r="L2" s="1">
        <f>-(G2*1000000-K2^2*F2)</f>
        <v>-21920211.199999999</v>
      </c>
    </row>
    <row r="3" spans="1:14" x14ac:dyDescent="0.25">
      <c r="A3" t="s">
        <v>1</v>
      </c>
      <c r="B3" t="s">
        <v>277</v>
      </c>
      <c r="C3">
        <v>203</v>
      </c>
      <c r="D3">
        <v>19</v>
      </c>
      <c r="E3">
        <v>57.9</v>
      </c>
      <c r="F3">
        <v>7350</v>
      </c>
      <c r="G3">
        <v>29.1</v>
      </c>
      <c r="H3">
        <v>200</v>
      </c>
      <c r="I3">
        <v>62.5</v>
      </c>
      <c r="J3">
        <v>57.4</v>
      </c>
      <c r="K3">
        <v>39.9</v>
      </c>
      <c r="L3" s="1">
        <f t="shared" ref="L3:L31" si="0">-(G3*1000000-K3^2*F3)</f>
        <v>-17398726.5</v>
      </c>
      <c r="N3" t="str" cm="1">
        <f t="array" ref="N3">listaPerfiles(B2)</f>
        <v>{"L203X203X25.4(SI)","L203X203X19(SI)","L203X203X12.7(SI)","L152X152X25.4(SI)","L152X152X19(SI)","L152X152X15.9(SI)","L152X152X12.7(SI)","L152X152X9.5(SI)","L127X127X19(SI)","L127X127X15.9(SI)","L127X127X12.7(SI)","L127X127X9.5(SI)","L102X102X19(SI)","L102X102X15.9(SI)","L102X102X12.7(SI)","L102X102X9.5(SI)","L102X102X6.4(SI)","L89X89X12.7(SI)","L89X89X9.5(SI)","L89X89X6.4(SI)","L76X76X12.7(SI)","L76X76X9.5(SI)","L76X76X6.4(SI)","L64X64X12.7(SI)","L64X64X9.5(SI)","L64X64X6.4(SI)","L64X64X4.8(SI)","L51X51X9.5(SI)","L51X51X6.4(SI)","L51X51X3.2(SI)","L8X8X1(US)","L8X8X3⁄4(US)","L8X8X1⁄2(US)","L6X6X1(US)","L6X6X3⁄4(US)","L6X6X5⁄8(US)","L6X6X1⁄2(US)","L6X6X3⁄8(US)","L5X5X3⁄4(US)","L5X5X5⁄8(US)","L5X5X1⁄2(US)","L5X5X3⁄8(US)","L4X4X3⁄4(US)","L4X4X5⁄8(US)","L4X4X1⁄2(US)","L4X4X3⁄8(US)","L4X4X1⁄4(US)","L3½X3½X1⁄2(US)","L3½X3½X3⁄8(US)","L3½X3½X1⁄4(US)","L3X3X1⁄2(US)","L3X3X3⁄8(US)","L3X3X1⁄4(US)","L2½X2½X1⁄2(US)","L2½X2½X3⁄8(US)","L2½X2½X1⁄4(US)","L2½X2½X3⁄16(US)","L2X2X3⁄8(US)","L2X2X1⁄4(US)","L2X2X1⁄8(US)"};</v>
      </c>
    </row>
    <row r="4" spans="1:14" x14ac:dyDescent="0.25">
      <c r="A4" t="s">
        <v>1</v>
      </c>
      <c r="B4" t="s">
        <v>278</v>
      </c>
      <c r="C4">
        <v>203</v>
      </c>
      <c r="D4">
        <v>12.7</v>
      </c>
      <c r="E4">
        <v>39.299999999999997</v>
      </c>
      <c r="F4">
        <v>5000</v>
      </c>
      <c r="G4">
        <v>20.3</v>
      </c>
      <c r="H4">
        <v>137</v>
      </c>
      <c r="I4">
        <v>63.2</v>
      </c>
      <c r="J4">
        <v>55.1</v>
      </c>
      <c r="K4">
        <v>40.4</v>
      </c>
      <c r="L4" s="1">
        <f t="shared" si="0"/>
        <v>-12139200</v>
      </c>
      <c r="N4" t="str" cm="1">
        <f t="array" ref="N4">perfilesL1(B2)</f>
        <v>{
{{9680_mm^2,37.1E6_mm^4,37.1E6_mm^4,-21920211.200_mm^4,59.9_mm},{203_mm,203_mm,25.4_mm}},
{{7350_mm^2,29.1E6_mm^4,29.1E6_mm^4,-17398726.500_mm^4,57.4_mm},{203_mm,203_mm,19_mm}},
{{5000_mm^2,20.3E6_mm^4,20.3E6_mm^4,-12139200.000_mm^4,55.1_mm},{203_mm,203_mm,12.7_mm}},
{{7100_mm^2,14.7E6_mm^4,14.7E6_mm^4,-8437161.000_mm^4,47.2_mm},{152_mm,152_mm,25.4_mm}},
{{5460_mm^2,11.7E6_mm^4,11.7E6_mm^4,-6883788.600_mm^4,45_mm},{152_mm,152_mm,19_mm}},
{{4600_mm^2,10E6_mm^4,10E6_mm^4,-5942386.000_mm^4,43.7_mm},{152_mm,152_mm,15.9_mm}},
{{3720_mm^2,8.28E6_mm^4,8.28E6_mm^4,-4932000.000_mm^4,42.4_mm},{152_mm,152_mm,12.7_mm}},
{{2830_mm^2,6.41E6_mm^4,6.41E6_mm^4,-3828926.800_mm^4,41.1_mm},{152_mm,152_mm,9.5_mm}},
{{4480_mm^2,6.53E6_mm^4,6.53E6_mm^4,-3796796.800_mm^4,38.6_mm},{127_mm,127_mm,19_mm}},
{{3780_mm^2,5.66E6_mm^4,5.66E6_mm^4,-3335148.800_mm^4,37.3_mm},{127_mm,127_mm,15.9_mm}},
{{3060_mm^2,4.7E6_mm^4,4.7E6_mm^4,-2802769.400_mm^4,36.1_mm},{127_mm,127_mm,12.7_mm}},
{{2330_mm^2,3.65E6_mm^4,3.65E6_mm^4,-2193750.000_mm^4,34.8_mm},{127_mm,127_mm,9.5_mm}},
{{3510_mm^2,3.17E6_mm^4,3.17E6_mm^4,-1807804.100_mm^4,32.3_mm},{102_mm,102_mm,19_mm}},
{{2970_mm^2,2.76E6_mm^4,2.76E6_mm^4,-1607372.700_mm^4,31_mm},{102_mm,102_mm,15.9_mm}},
{{2420_mm^2,2.3E6_mm^4,2.3E6_mm^4,-1360822.200_mm^4,30_mm},{102_mm,102_mm,12.7_mm}},
{{1850_mm^2,1.8E6_mm^4,1.8E6_mm^4,-1074726.000_mm^4,28.7_mm},{102_mm,102_mm,9.5_mm}},
{{1250_mm^2,1.25E6_mm^4,1.25E6_mm^4,-754987.500_mm^4,27.4_mm},{102_mm,102_mm,6.4_mm}},
{{2100_mm^2,1.51E6_mm^4,1.51E6_mm^4,-888736.000_mm^4,26.7_mm},{89_mm,89_mm,12.7_mm}},
{{1600_mm^2,1.19E6_mm^4,1.19E6_mm^4,-711136.000_mm^4,25.4_mm},{89_mm,89_mm,9.5_mm}},
{{1090_mm^2,0.832E6_mm^4,0.832E6_mm^4,-498187.500_mm^4,24.2_mm},{89_mm,89_mm,6.4_mm}},
{{1770_mm^2,0.916E6_mm^4,0.916E6_mm^4,-533520.700_mm^4,23.6_mm},{76_mm,76_mm,12.7_mm}},
{{1360_mm^2,0.728E6_mm^4,0.728E6_mm^4,-430105.600_mm^4,22.5_mm},{76_mm,76_mm,9.5_mm}},
{{929_mm^2,0.512E6_mm^4,0.512E6_mm^4,-305752.710_mm^4,21.2_mm},{76_mm,76_mm,6.4_mm}},
{{1450_mm^2,0.508E6_mm^4,0.508E6_mm^4,-292182.000_mm^4,20.4_mm},{64_mm,64_mm,12.7_mm}},
{{1120_mm^2,0.405E6_mm^4,0.405E6_mm^4,-238299.200_mm^4,19.3_mm},{64_mm,64_mm,9.5_mm}},
{{768_mm^2,0.288E6_mm^4,0.288E6_mm^4,-173690.880_mm^4,18.1_mm},{64_mm,64_mm,6.4_mm}},
{{581_mm^2,0.223E6_mm^4,0.223E6_mm^4,-136523.960_mm^4,17.4_mm},{64_mm,64_mm,4.8_mm}},
{{877_mm^2,0.198E6_mm^4,0.198E6_mm^4,-113772.920_mm^4,16.1_mm},{51_mm,51_mm,9.5_mm}},
{{605_mm^2,0.144E6_mm^4,0.144E6_mm^4,-85539.516_mm^4,14.9_mm},{51_mm,51_mm,6.4_mm}},
{{312_mm^2,0.0787E6_mm^4,0.0787E6_mm^4,-47935.271_mm^4,13.6_mm},{51_mm,51_mm,3.2_mm}},
{{15_in^2,89.1_in^4,89.1_in^4,-52.596_in^4,2.36_in},{8_in,8_in,1_in}},
{{11.4_in^2,69.9_in^4,69.9_in^4,-41.800_in^4,2.26_in},{8_in,8_in,0.750_in}},
{{7.75_in^2,48.8_in^4,48.8_in^4,-29.207_in^4,2.17_in},{8_in,8_in,0.500_in}},
{{11_in^2,35.4_in^4,35.4_in^4,-20.342_in^4,1.86_in},{6_in,6_in,1.000_in}},
{{8.46_in^2,28.1_in^4,28.1_in^4,-16.519_in^4,1.77_in},{6_in,6_in,0.750_in}},
{{7.13_in^2,24.1_in^4,24.1_in^4,-14.340_in^4,1.72_in},{6_in,6_in,0.625_in}},
{{5.77_in^2,19.9_in^4,19.9_in^4,-11.866_in^4,1.67_in},{6_in,6_in,0.500_in}},
{{4.38_in^2,15.4_in^4,15.4_in^4,-9.197_in^4,1.62_in},{6_in,6_in,0.375_in}},
{{6.94_in^2,15.7_in^4,15.7_in^4,-9.143_in^4,1.52_in},{5_in,5_in,0.750_in}},
{{5.86_in^2,13.6_in^4,13.6_in^4,-8.029_in^4,1.47_in},{5_in,5_in,0.625_in}},
{{4.75_in^2,11.3_in^4,11.3_in^4,-6.738_in^4,1.42_in},{5_in,5_in,0.500_in}},
{{3.61_in^2,8.76_in^4,8.76_in^4,-5.250_in^4,1.37_in},{5_in,5_in,0.375_in}},
{{5.44_in^2,7.62_in^4,7.62_in^4,-4.361_in^4,1.27_in},{4_in,4_in,0.750_in}},
{{4.61_in^2,6.62_in^4,6.62_in^4,-3.858_in^4,1.22_in},{4_in,4_in,0.625_in}},
{{3.75_in^2,5.52_in^4,5.52_in^4,-3.262_in^4,1.18_in},{4_in,4_in,0.500_in}},
{{2.86_in^2,4.32_in^4,4.32_in^4,-2.584_in^4,1.13_in},{4_in,4_in,0.375_in}},
{{1.94_in^2,3_in^4,3_in^4,-1.811_in^4,1.08_in},{4_in,4_in,0.250_in}},
{{3.25_in^2,3.63_in^4,3.63_in^4,-2.132_in^4,1.05_in},{3.5_in,3.5_in,0.500_in}},
{{2.48_in^2,2.86_in^4,2.86_in^4,-1.703_in^4,1_in},{3.5_in,3.5_in,0.375_in}},
{{1.69_in^2,2_in^4,2_in^4,-1.200_in^4,0.954_in},{3.5_in,3.5_in,0.250_in}},
{{2.75_in^2,2.2_in^4,2.2_in^4,-1.275_in^4,0.929_in},{3_in,3_in,0.500_in}},
{{2.11_in^2,1.75_in^4,1.75_in^4,-1.038_in^4,0.884_in},{3_in,3_in,0.375_in}},
{{1.44_in^2,1.23_in^4,1.23_in^4,-0.737_in^4,0.836_in},{3_in,3_in,0.250_in}},
{{2.25_in^2,1.22_in^4,1.22_in^4,-0.699_in^4,0.803_in},{2.5_in,2.5_in,0.500_in}},
{{1.73_in^2,0.972_in^4,0.972_in^4,-0.572_in^4,0.758_in},{2.5_in,2.5_in,0.375_in}},
{{1.19_in^2,0.692_in^4,0.692_in^4,-0.416_in^4,0.711_in},{2.5_in,2.5_in,0.250_in}},
{{0.9_in^2,0.535_in^4,0.535_in^4,-0.326_in^4,0.687_in},{2.5_in,2.5_in,0.188_in}},
{{1.36_in^2,0.476_in^4,0.476_in^4,-0.273_in^4,0.632_in},{2_in,2_in,0.375_in}},
{{0.938_in^2,0.346_in^4,0.346_in^4,-0.206_in^4,0.586_in},{2_in,2_in,0.250_in}},
{{0.484_in^2,0.189_in^4,0.189_in^4,-0.115_in^4,0.534_in},{2_in,2_in,0.125_in}}
};</v>
      </c>
    </row>
    <row r="5" spans="1:14" x14ac:dyDescent="0.25">
      <c r="A5" t="s">
        <v>1</v>
      </c>
      <c r="B5" t="s">
        <v>279</v>
      </c>
      <c r="C5">
        <v>152</v>
      </c>
      <c r="D5">
        <v>25.4</v>
      </c>
      <c r="E5">
        <v>55.7</v>
      </c>
      <c r="F5">
        <v>7100</v>
      </c>
      <c r="G5">
        <v>14.7</v>
      </c>
      <c r="H5">
        <v>140</v>
      </c>
      <c r="I5">
        <v>45.5</v>
      </c>
      <c r="J5">
        <v>47.2</v>
      </c>
      <c r="K5">
        <v>29.7</v>
      </c>
      <c r="L5" s="1">
        <f t="shared" si="0"/>
        <v>-8437161</v>
      </c>
    </row>
    <row r="6" spans="1:14" x14ac:dyDescent="0.25">
      <c r="A6" t="s">
        <v>1</v>
      </c>
      <c r="B6" t="s">
        <v>280</v>
      </c>
      <c r="C6">
        <v>152</v>
      </c>
      <c r="D6">
        <v>19</v>
      </c>
      <c r="E6">
        <v>42.7</v>
      </c>
      <c r="F6">
        <v>5460</v>
      </c>
      <c r="G6">
        <v>11.7</v>
      </c>
      <c r="H6">
        <v>109</v>
      </c>
      <c r="I6">
        <v>46.2</v>
      </c>
      <c r="J6">
        <v>45</v>
      </c>
      <c r="K6">
        <v>29.7</v>
      </c>
      <c r="L6" s="1">
        <f t="shared" si="0"/>
        <v>-6883788.6000000006</v>
      </c>
    </row>
    <row r="7" spans="1:14" x14ac:dyDescent="0.25">
      <c r="A7" t="s">
        <v>1</v>
      </c>
      <c r="B7" t="s">
        <v>281</v>
      </c>
      <c r="C7">
        <v>152</v>
      </c>
      <c r="D7">
        <v>15.9</v>
      </c>
      <c r="E7">
        <v>36</v>
      </c>
      <c r="F7">
        <v>4600</v>
      </c>
      <c r="G7">
        <v>10</v>
      </c>
      <c r="H7">
        <v>92.4</v>
      </c>
      <c r="I7">
        <v>46.7</v>
      </c>
      <c r="J7">
        <v>43.7</v>
      </c>
      <c r="K7">
        <v>29.7</v>
      </c>
      <c r="L7" s="1">
        <f t="shared" si="0"/>
        <v>-5942386</v>
      </c>
    </row>
    <row r="8" spans="1:14" x14ac:dyDescent="0.25">
      <c r="A8" t="s">
        <v>1</v>
      </c>
      <c r="B8" t="s">
        <v>282</v>
      </c>
      <c r="C8">
        <v>152</v>
      </c>
      <c r="D8">
        <v>12.7</v>
      </c>
      <c r="E8">
        <v>29.2</v>
      </c>
      <c r="F8">
        <v>3720</v>
      </c>
      <c r="G8">
        <v>8.2799999999999994</v>
      </c>
      <c r="H8">
        <v>75.2</v>
      </c>
      <c r="I8">
        <v>47.2</v>
      </c>
      <c r="J8">
        <v>42.4</v>
      </c>
      <c r="K8">
        <v>30</v>
      </c>
      <c r="L8" s="1">
        <f t="shared" si="0"/>
        <v>-4931999.9999999991</v>
      </c>
    </row>
    <row r="9" spans="1:14" x14ac:dyDescent="0.25">
      <c r="A9" t="s">
        <v>1</v>
      </c>
      <c r="B9" t="s">
        <v>283</v>
      </c>
      <c r="C9">
        <v>152</v>
      </c>
      <c r="D9">
        <v>9.5</v>
      </c>
      <c r="E9">
        <v>22.2</v>
      </c>
      <c r="F9">
        <v>2830</v>
      </c>
      <c r="G9">
        <v>6.41</v>
      </c>
      <c r="H9">
        <v>57.5</v>
      </c>
      <c r="I9">
        <v>47.5</v>
      </c>
      <c r="J9">
        <v>41.1</v>
      </c>
      <c r="K9">
        <v>30.2</v>
      </c>
      <c r="L9" s="1">
        <f t="shared" si="0"/>
        <v>-3828926.8000000003</v>
      </c>
    </row>
    <row r="10" spans="1:14" x14ac:dyDescent="0.25">
      <c r="A10" t="s">
        <v>1</v>
      </c>
      <c r="B10" t="s">
        <v>284</v>
      </c>
      <c r="C10">
        <v>127</v>
      </c>
      <c r="D10">
        <v>19</v>
      </c>
      <c r="E10">
        <v>35.1</v>
      </c>
      <c r="F10">
        <v>4480</v>
      </c>
      <c r="G10">
        <v>6.53</v>
      </c>
      <c r="H10">
        <v>74.099999999999994</v>
      </c>
      <c r="I10">
        <v>38.1</v>
      </c>
      <c r="J10">
        <v>38.6</v>
      </c>
      <c r="K10">
        <v>24.7</v>
      </c>
      <c r="L10" s="1">
        <f t="shared" si="0"/>
        <v>-3796796.8000000003</v>
      </c>
    </row>
    <row r="11" spans="1:14" x14ac:dyDescent="0.25">
      <c r="A11" t="s">
        <v>1</v>
      </c>
      <c r="B11" t="s">
        <v>285</v>
      </c>
      <c r="C11">
        <v>127</v>
      </c>
      <c r="D11">
        <v>15.9</v>
      </c>
      <c r="E11">
        <v>29.8</v>
      </c>
      <c r="F11">
        <v>3780</v>
      </c>
      <c r="G11">
        <v>5.66</v>
      </c>
      <c r="H11">
        <v>63.1</v>
      </c>
      <c r="I11">
        <v>38.6</v>
      </c>
      <c r="J11">
        <v>37.299999999999997</v>
      </c>
      <c r="K11">
        <v>24.8</v>
      </c>
      <c r="L11" s="1">
        <f t="shared" si="0"/>
        <v>-3335148.8</v>
      </c>
    </row>
    <row r="12" spans="1:14" x14ac:dyDescent="0.25">
      <c r="A12" t="s">
        <v>1</v>
      </c>
      <c r="B12" t="s">
        <v>286</v>
      </c>
      <c r="C12">
        <v>127</v>
      </c>
      <c r="D12">
        <v>12.7</v>
      </c>
      <c r="E12">
        <v>24.1</v>
      </c>
      <c r="F12">
        <v>3060</v>
      </c>
      <c r="G12">
        <v>4.7</v>
      </c>
      <c r="H12">
        <v>51.6</v>
      </c>
      <c r="I12">
        <v>38.9</v>
      </c>
      <c r="J12">
        <v>36.1</v>
      </c>
      <c r="K12">
        <v>24.9</v>
      </c>
      <c r="L12" s="1">
        <f t="shared" si="0"/>
        <v>-2802769.4000000004</v>
      </c>
    </row>
    <row r="13" spans="1:14" x14ac:dyDescent="0.25">
      <c r="A13" t="s">
        <v>1</v>
      </c>
      <c r="B13" t="s">
        <v>287</v>
      </c>
      <c r="C13">
        <v>127</v>
      </c>
      <c r="D13">
        <v>9.5</v>
      </c>
      <c r="E13">
        <v>18.3</v>
      </c>
      <c r="F13">
        <v>2330</v>
      </c>
      <c r="G13">
        <v>3.65</v>
      </c>
      <c r="H13">
        <v>39.5</v>
      </c>
      <c r="I13">
        <v>39.4</v>
      </c>
      <c r="J13">
        <v>34.799999999999997</v>
      </c>
      <c r="K13">
        <v>25</v>
      </c>
      <c r="L13" s="1">
        <f t="shared" si="0"/>
        <v>-2193750</v>
      </c>
    </row>
    <row r="14" spans="1:14" x14ac:dyDescent="0.25">
      <c r="A14" t="s">
        <v>1</v>
      </c>
      <c r="B14" t="s">
        <v>288</v>
      </c>
      <c r="C14">
        <v>102</v>
      </c>
      <c r="D14">
        <v>19</v>
      </c>
      <c r="E14">
        <v>27.5</v>
      </c>
      <c r="F14">
        <v>3510</v>
      </c>
      <c r="G14">
        <v>3.17</v>
      </c>
      <c r="H14">
        <v>45.7</v>
      </c>
      <c r="I14">
        <v>30</v>
      </c>
      <c r="J14">
        <v>32.299999999999997</v>
      </c>
      <c r="K14">
        <v>19.7</v>
      </c>
      <c r="L14" s="1">
        <f t="shared" si="0"/>
        <v>-1807804.1</v>
      </c>
    </row>
    <row r="15" spans="1:14" x14ac:dyDescent="0.25">
      <c r="A15" t="s">
        <v>1</v>
      </c>
      <c r="B15" t="s">
        <v>289</v>
      </c>
      <c r="C15">
        <v>102</v>
      </c>
      <c r="D15">
        <v>15.9</v>
      </c>
      <c r="E15">
        <v>23.4</v>
      </c>
      <c r="F15">
        <v>2970</v>
      </c>
      <c r="G15">
        <v>2.76</v>
      </c>
      <c r="H15">
        <v>39</v>
      </c>
      <c r="I15">
        <v>30.5</v>
      </c>
      <c r="J15">
        <v>31</v>
      </c>
      <c r="K15">
        <v>19.7</v>
      </c>
      <c r="L15" s="1">
        <f t="shared" si="0"/>
        <v>-1607372.7000000002</v>
      </c>
    </row>
    <row r="16" spans="1:14" x14ac:dyDescent="0.25">
      <c r="A16" t="s">
        <v>1</v>
      </c>
      <c r="B16" t="s">
        <v>290</v>
      </c>
      <c r="C16">
        <v>102</v>
      </c>
      <c r="D16">
        <v>12.7</v>
      </c>
      <c r="E16">
        <v>19</v>
      </c>
      <c r="F16">
        <v>2420</v>
      </c>
      <c r="G16">
        <v>2.2999999999999998</v>
      </c>
      <c r="H16">
        <v>32.1</v>
      </c>
      <c r="I16">
        <v>30.7</v>
      </c>
      <c r="J16">
        <v>30</v>
      </c>
      <c r="K16">
        <v>19.7</v>
      </c>
      <c r="L16" s="1">
        <f t="shared" si="0"/>
        <v>-1360822.2000000002</v>
      </c>
    </row>
    <row r="17" spans="1:12" x14ac:dyDescent="0.25">
      <c r="A17" t="s">
        <v>1</v>
      </c>
      <c r="B17" t="s">
        <v>291</v>
      </c>
      <c r="C17">
        <v>102</v>
      </c>
      <c r="D17">
        <v>9.5</v>
      </c>
      <c r="E17">
        <v>14.6</v>
      </c>
      <c r="F17">
        <v>1850</v>
      </c>
      <c r="G17">
        <v>1.8</v>
      </c>
      <c r="H17">
        <v>24.6</v>
      </c>
      <c r="I17">
        <v>31.2</v>
      </c>
      <c r="J17">
        <v>28.7</v>
      </c>
      <c r="K17">
        <v>19.8</v>
      </c>
      <c r="L17" s="1">
        <f t="shared" si="0"/>
        <v>-1074726</v>
      </c>
    </row>
    <row r="18" spans="1:12" x14ac:dyDescent="0.25">
      <c r="A18" t="s">
        <v>1</v>
      </c>
      <c r="B18" t="s">
        <v>292</v>
      </c>
      <c r="C18">
        <v>102</v>
      </c>
      <c r="D18">
        <v>6.4</v>
      </c>
      <c r="E18">
        <v>9.8000000000000007</v>
      </c>
      <c r="F18">
        <v>1250</v>
      </c>
      <c r="G18">
        <v>1.25</v>
      </c>
      <c r="H18">
        <v>16.899999999999999</v>
      </c>
      <c r="I18">
        <v>31.8</v>
      </c>
      <c r="J18">
        <v>27.4</v>
      </c>
      <c r="K18">
        <v>19.899999999999999</v>
      </c>
      <c r="L18" s="1">
        <f t="shared" si="0"/>
        <v>-754987.5</v>
      </c>
    </row>
    <row r="19" spans="1:12" x14ac:dyDescent="0.25">
      <c r="A19" t="s">
        <v>1</v>
      </c>
      <c r="B19" t="s">
        <v>293</v>
      </c>
      <c r="C19">
        <v>89</v>
      </c>
      <c r="D19">
        <v>12.7</v>
      </c>
      <c r="E19">
        <v>16.5</v>
      </c>
      <c r="F19">
        <v>2100</v>
      </c>
      <c r="G19">
        <v>1.51</v>
      </c>
      <c r="H19">
        <v>24.3</v>
      </c>
      <c r="I19">
        <v>26.7</v>
      </c>
      <c r="J19">
        <v>26.7</v>
      </c>
      <c r="K19">
        <v>17.2</v>
      </c>
      <c r="L19" s="1">
        <f t="shared" si="0"/>
        <v>-888736</v>
      </c>
    </row>
    <row r="20" spans="1:12" x14ac:dyDescent="0.25">
      <c r="A20" t="s">
        <v>1</v>
      </c>
      <c r="B20" t="s">
        <v>294</v>
      </c>
      <c r="C20">
        <v>89</v>
      </c>
      <c r="D20">
        <v>9.5</v>
      </c>
      <c r="E20">
        <v>12.6</v>
      </c>
      <c r="F20">
        <v>1600</v>
      </c>
      <c r="G20">
        <v>1.19</v>
      </c>
      <c r="H20">
        <v>18.8</v>
      </c>
      <c r="I20">
        <v>27.2</v>
      </c>
      <c r="J20">
        <v>25.4</v>
      </c>
      <c r="K20">
        <v>17.3</v>
      </c>
      <c r="L20" s="1">
        <f t="shared" si="0"/>
        <v>-711136</v>
      </c>
    </row>
    <row r="21" spans="1:12" x14ac:dyDescent="0.25">
      <c r="A21" t="s">
        <v>1</v>
      </c>
      <c r="B21" t="s">
        <v>295</v>
      </c>
      <c r="C21">
        <v>89</v>
      </c>
      <c r="D21">
        <v>6.4</v>
      </c>
      <c r="E21">
        <v>8.6</v>
      </c>
      <c r="F21">
        <v>1090</v>
      </c>
      <c r="G21">
        <v>0.83199999999999996</v>
      </c>
      <c r="H21">
        <v>12.9</v>
      </c>
      <c r="I21">
        <v>27.7</v>
      </c>
      <c r="J21">
        <v>24.2</v>
      </c>
      <c r="K21">
        <v>17.5</v>
      </c>
      <c r="L21" s="1">
        <f t="shared" si="0"/>
        <v>-498187.5</v>
      </c>
    </row>
    <row r="22" spans="1:12" x14ac:dyDescent="0.25">
      <c r="A22" t="s">
        <v>1</v>
      </c>
      <c r="B22" t="s">
        <v>296</v>
      </c>
      <c r="C22">
        <v>76</v>
      </c>
      <c r="D22">
        <v>12.7</v>
      </c>
      <c r="E22">
        <v>14</v>
      </c>
      <c r="F22">
        <v>1770</v>
      </c>
      <c r="G22">
        <v>0.91600000000000004</v>
      </c>
      <c r="H22">
        <v>17.399999999999999</v>
      </c>
      <c r="I22">
        <v>22.7</v>
      </c>
      <c r="J22">
        <v>23.6</v>
      </c>
      <c r="K22">
        <v>14.7</v>
      </c>
      <c r="L22" s="1">
        <f t="shared" si="0"/>
        <v>-533520.70000000007</v>
      </c>
    </row>
    <row r="23" spans="1:12" x14ac:dyDescent="0.25">
      <c r="A23" t="s">
        <v>1</v>
      </c>
      <c r="B23" t="s">
        <v>297</v>
      </c>
      <c r="C23">
        <v>76</v>
      </c>
      <c r="D23">
        <v>9.5</v>
      </c>
      <c r="E23">
        <v>10.7</v>
      </c>
      <c r="F23">
        <v>1360</v>
      </c>
      <c r="G23">
        <v>0.72799999999999998</v>
      </c>
      <c r="H23">
        <v>13.5</v>
      </c>
      <c r="I23">
        <v>23.1</v>
      </c>
      <c r="J23">
        <v>22.5</v>
      </c>
      <c r="K23">
        <v>14.8</v>
      </c>
      <c r="L23" s="1">
        <f t="shared" si="0"/>
        <v>-430105.59999999998</v>
      </c>
    </row>
    <row r="24" spans="1:12" x14ac:dyDescent="0.25">
      <c r="A24" t="s">
        <v>1</v>
      </c>
      <c r="B24" t="s">
        <v>298</v>
      </c>
      <c r="C24">
        <v>76</v>
      </c>
      <c r="D24">
        <v>6.4</v>
      </c>
      <c r="E24">
        <v>7.3</v>
      </c>
      <c r="F24">
        <v>929</v>
      </c>
      <c r="G24">
        <v>0.51200000000000001</v>
      </c>
      <c r="H24">
        <v>9.32</v>
      </c>
      <c r="I24">
        <v>23.5</v>
      </c>
      <c r="J24">
        <v>21.2</v>
      </c>
      <c r="K24">
        <v>14.9</v>
      </c>
      <c r="L24" s="1">
        <f t="shared" si="0"/>
        <v>-305752.70999999996</v>
      </c>
    </row>
    <row r="25" spans="1:12" x14ac:dyDescent="0.25">
      <c r="A25" t="s">
        <v>1</v>
      </c>
      <c r="B25" t="s">
        <v>299</v>
      </c>
      <c r="C25">
        <v>64</v>
      </c>
      <c r="D25">
        <v>12.7</v>
      </c>
      <c r="E25">
        <v>11.4</v>
      </c>
      <c r="F25">
        <v>1450</v>
      </c>
      <c r="G25">
        <v>0.50800000000000001</v>
      </c>
      <c r="H25">
        <v>11.7</v>
      </c>
      <c r="I25">
        <v>18.7</v>
      </c>
      <c r="J25">
        <v>20.399999999999999</v>
      </c>
      <c r="K25">
        <v>12.2</v>
      </c>
      <c r="L25" s="1">
        <f t="shared" si="0"/>
        <v>-292182</v>
      </c>
    </row>
    <row r="26" spans="1:12" x14ac:dyDescent="0.25">
      <c r="A26" t="s">
        <v>1</v>
      </c>
      <c r="B26" t="s">
        <v>300</v>
      </c>
      <c r="C26">
        <v>64</v>
      </c>
      <c r="D26">
        <v>9.5</v>
      </c>
      <c r="E26">
        <v>8.6999999999999993</v>
      </c>
      <c r="F26">
        <v>1120</v>
      </c>
      <c r="G26">
        <v>0.40500000000000003</v>
      </c>
      <c r="H26">
        <v>9.14</v>
      </c>
      <c r="I26">
        <v>19</v>
      </c>
      <c r="J26">
        <v>19.3</v>
      </c>
      <c r="K26">
        <v>12.2</v>
      </c>
      <c r="L26" s="1">
        <f t="shared" si="0"/>
        <v>-238299.20000000004</v>
      </c>
    </row>
    <row r="27" spans="1:12" x14ac:dyDescent="0.25">
      <c r="A27" t="s">
        <v>1</v>
      </c>
      <c r="B27" t="s">
        <v>301</v>
      </c>
      <c r="C27">
        <v>64</v>
      </c>
      <c r="D27">
        <v>6.4</v>
      </c>
      <c r="E27">
        <v>6.1</v>
      </c>
      <c r="F27">
        <v>768</v>
      </c>
      <c r="G27">
        <v>0.28799999999999998</v>
      </c>
      <c r="H27">
        <v>6.34</v>
      </c>
      <c r="I27">
        <v>19.399999999999999</v>
      </c>
      <c r="J27">
        <v>18.100000000000001</v>
      </c>
      <c r="K27">
        <v>12.2</v>
      </c>
      <c r="L27" s="1">
        <f t="shared" si="0"/>
        <v>-173690.88</v>
      </c>
    </row>
    <row r="28" spans="1:12" x14ac:dyDescent="0.25">
      <c r="A28" t="s">
        <v>1</v>
      </c>
      <c r="B28" t="s">
        <v>302</v>
      </c>
      <c r="C28">
        <v>64</v>
      </c>
      <c r="D28">
        <v>4.8</v>
      </c>
      <c r="E28">
        <v>4.5999999999999996</v>
      </c>
      <c r="F28">
        <v>581</v>
      </c>
      <c r="G28">
        <v>0.223</v>
      </c>
      <c r="H28">
        <v>4.83</v>
      </c>
      <c r="I28">
        <v>19.600000000000001</v>
      </c>
      <c r="J28">
        <v>17.399999999999999</v>
      </c>
      <c r="K28">
        <v>12.2</v>
      </c>
      <c r="L28" s="1">
        <f t="shared" si="0"/>
        <v>-136523.96000000002</v>
      </c>
    </row>
    <row r="29" spans="1:12" x14ac:dyDescent="0.25">
      <c r="A29" t="s">
        <v>1</v>
      </c>
      <c r="B29" t="s">
        <v>303</v>
      </c>
      <c r="C29">
        <v>51</v>
      </c>
      <c r="D29">
        <v>9.5</v>
      </c>
      <c r="E29">
        <v>7</v>
      </c>
      <c r="F29">
        <v>877</v>
      </c>
      <c r="G29">
        <v>0.19800000000000001</v>
      </c>
      <c r="H29">
        <v>5.7</v>
      </c>
      <c r="I29">
        <v>15</v>
      </c>
      <c r="J29">
        <v>16.100000000000001</v>
      </c>
      <c r="K29">
        <v>9.8000000000000007</v>
      </c>
      <c r="L29" s="1">
        <f t="shared" si="0"/>
        <v>-113772.91999999998</v>
      </c>
    </row>
    <row r="30" spans="1:12" x14ac:dyDescent="0.25">
      <c r="A30" t="s">
        <v>1</v>
      </c>
      <c r="B30" t="s">
        <v>304</v>
      </c>
      <c r="C30">
        <v>51</v>
      </c>
      <c r="D30">
        <v>6.4</v>
      </c>
      <c r="E30">
        <v>4.7</v>
      </c>
      <c r="F30">
        <v>605</v>
      </c>
      <c r="G30">
        <v>0.14399999999999999</v>
      </c>
      <c r="H30">
        <v>4</v>
      </c>
      <c r="I30">
        <v>15.4</v>
      </c>
      <c r="J30">
        <v>14.9</v>
      </c>
      <c r="K30">
        <v>9.83</v>
      </c>
      <c r="L30" s="1">
        <f t="shared" si="0"/>
        <v>-85539.515500000009</v>
      </c>
    </row>
    <row r="31" spans="1:12" x14ac:dyDescent="0.25">
      <c r="A31" t="s">
        <v>1</v>
      </c>
      <c r="B31" t="s">
        <v>305</v>
      </c>
      <c r="C31">
        <v>51</v>
      </c>
      <c r="D31">
        <v>3.2</v>
      </c>
      <c r="E31">
        <v>2.4</v>
      </c>
      <c r="F31">
        <v>312</v>
      </c>
      <c r="G31">
        <v>7.8700000000000006E-2</v>
      </c>
      <c r="H31">
        <v>2.11</v>
      </c>
      <c r="I31">
        <v>15.7</v>
      </c>
      <c r="J31">
        <v>13.6</v>
      </c>
      <c r="K31">
        <v>9.93</v>
      </c>
      <c r="L31" s="1">
        <f t="shared" si="0"/>
        <v>-47935.271200000003</v>
      </c>
    </row>
    <row r="32" spans="1:12" x14ac:dyDescent="0.25">
      <c r="A32" t="s">
        <v>86</v>
      </c>
      <c r="B32" t="s">
        <v>306</v>
      </c>
      <c r="C32">
        <v>8</v>
      </c>
      <c r="D32">
        <v>1</v>
      </c>
      <c r="E32">
        <v>51</v>
      </c>
      <c r="F32">
        <v>15</v>
      </c>
      <c r="G32">
        <v>89.1</v>
      </c>
      <c r="H32">
        <v>15.8</v>
      </c>
      <c r="I32">
        <v>2.4300000000000002</v>
      </c>
      <c r="J32">
        <v>2.36</v>
      </c>
      <c r="K32">
        <v>1.56</v>
      </c>
      <c r="L32" s="1">
        <f>-(G32-K32^2*F32)</f>
        <v>-52.595999999999989</v>
      </c>
    </row>
    <row r="33" spans="1:12" x14ac:dyDescent="0.25">
      <c r="A33" t="s">
        <v>86</v>
      </c>
      <c r="B33" t="s">
        <v>307</v>
      </c>
      <c r="C33">
        <v>8</v>
      </c>
      <c r="D33" s="1">
        <f>3/4</f>
        <v>0.75</v>
      </c>
      <c r="E33">
        <v>38.9</v>
      </c>
      <c r="F33">
        <v>11.4</v>
      </c>
      <c r="G33">
        <v>69.900000000000006</v>
      </c>
      <c r="H33">
        <v>12.2</v>
      </c>
      <c r="I33">
        <v>2.46</v>
      </c>
      <c r="J33">
        <v>2.2599999999999998</v>
      </c>
      <c r="K33">
        <v>1.57</v>
      </c>
      <c r="L33" s="1">
        <f t="shared" ref="L33:L61" si="1">-(G33-K33^2*F33)</f>
        <v>-41.800139999999999</v>
      </c>
    </row>
    <row r="34" spans="1:12" x14ac:dyDescent="0.25">
      <c r="A34" t="s">
        <v>86</v>
      </c>
      <c r="B34" t="s">
        <v>308</v>
      </c>
      <c r="C34">
        <v>8</v>
      </c>
      <c r="D34" s="1">
        <v>0.5</v>
      </c>
      <c r="E34">
        <v>26.4</v>
      </c>
      <c r="F34">
        <v>7.75</v>
      </c>
      <c r="G34">
        <v>48.8</v>
      </c>
      <c r="H34">
        <v>8.36</v>
      </c>
      <c r="I34">
        <v>2.4900000000000002</v>
      </c>
      <c r="J34">
        <v>2.17</v>
      </c>
      <c r="K34">
        <v>1.59</v>
      </c>
      <c r="L34" s="1">
        <f t="shared" si="1"/>
        <v>-29.207224999999994</v>
      </c>
    </row>
    <row r="35" spans="1:12" x14ac:dyDescent="0.25">
      <c r="A35" t="s">
        <v>86</v>
      </c>
      <c r="B35" t="s">
        <v>309</v>
      </c>
      <c r="C35">
        <v>6</v>
      </c>
      <c r="D35" s="1">
        <v>1</v>
      </c>
      <c r="E35">
        <v>37.4</v>
      </c>
      <c r="F35">
        <v>11</v>
      </c>
      <c r="G35">
        <v>35.4</v>
      </c>
      <c r="H35">
        <v>8.5500000000000007</v>
      </c>
      <c r="I35">
        <v>1.79</v>
      </c>
      <c r="J35">
        <v>1.86</v>
      </c>
      <c r="K35">
        <v>1.17</v>
      </c>
      <c r="L35" s="1">
        <f t="shared" si="1"/>
        <v>-20.342100000000002</v>
      </c>
    </row>
    <row r="36" spans="1:12" x14ac:dyDescent="0.25">
      <c r="A36" t="s">
        <v>86</v>
      </c>
      <c r="B36" t="s">
        <v>310</v>
      </c>
      <c r="C36">
        <v>6</v>
      </c>
      <c r="D36" s="1">
        <v>0.75</v>
      </c>
      <c r="E36">
        <v>28.7</v>
      </c>
      <c r="F36">
        <v>8.4600000000000009</v>
      </c>
      <c r="G36">
        <v>28.1</v>
      </c>
      <c r="H36">
        <v>6.64</v>
      </c>
      <c r="I36">
        <v>1.82</v>
      </c>
      <c r="J36">
        <v>1.77</v>
      </c>
      <c r="K36">
        <v>1.17</v>
      </c>
      <c r="L36" s="1">
        <f t="shared" si="1"/>
        <v>-16.519106000000001</v>
      </c>
    </row>
    <row r="37" spans="1:12" x14ac:dyDescent="0.25">
      <c r="A37" t="s">
        <v>86</v>
      </c>
      <c r="B37" t="s">
        <v>311</v>
      </c>
      <c r="C37">
        <v>6</v>
      </c>
      <c r="D37" s="1">
        <f>5/8</f>
        <v>0.625</v>
      </c>
      <c r="E37">
        <v>24.2</v>
      </c>
      <c r="F37">
        <v>7.13</v>
      </c>
      <c r="G37">
        <v>24.1</v>
      </c>
      <c r="H37">
        <v>5.64</v>
      </c>
      <c r="I37">
        <v>1.84</v>
      </c>
      <c r="J37">
        <v>1.72</v>
      </c>
      <c r="K37">
        <v>1.17</v>
      </c>
      <c r="L37" s="1">
        <f t="shared" si="1"/>
        <v>-14.339743000000004</v>
      </c>
    </row>
    <row r="38" spans="1:12" x14ac:dyDescent="0.25">
      <c r="A38" t="s">
        <v>86</v>
      </c>
      <c r="B38" t="s">
        <v>312</v>
      </c>
      <c r="C38">
        <v>6</v>
      </c>
      <c r="D38" s="1">
        <v>0.5</v>
      </c>
      <c r="E38">
        <v>19.600000000000001</v>
      </c>
      <c r="F38">
        <v>5.77</v>
      </c>
      <c r="G38">
        <v>19.899999999999999</v>
      </c>
      <c r="H38">
        <v>4.59</v>
      </c>
      <c r="I38">
        <v>1.86</v>
      </c>
      <c r="J38">
        <v>1.67</v>
      </c>
      <c r="K38">
        <v>1.18</v>
      </c>
      <c r="L38" s="1">
        <f t="shared" si="1"/>
        <v>-11.865852</v>
      </c>
    </row>
    <row r="39" spans="1:12" x14ac:dyDescent="0.25">
      <c r="A39" t="s">
        <v>86</v>
      </c>
      <c r="B39" t="s">
        <v>313</v>
      </c>
      <c r="C39">
        <v>6</v>
      </c>
      <c r="D39" s="1">
        <f>3/8</f>
        <v>0.375</v>
      </c>
      <c r="E39">
        <v>14.9</v>
      </c>
      <c r="F39">
        <v>4.38</v>
      </c>
      <c r="G39">
        <v>15.4</v>
      </c>
      <c r="H39">
        <v>3.51</v>
      </c>
      <c r="I39">
        <v>1.87</v>
      </c>
      <c r="J39">
        <v>1.62</v>
      </c>
      <c r="K39">
        <v>1.19</v>
      </c>
      <c r="L39" s="1">
        <f t="shared" si="1"/>
        <v>-9.1974820000000008</v>
      </c>
    </row>
    <row r="40" spans="1:12" x14ac:dyDescent="0.25">
      <c r="A40" t="s">
        <v>86</v>
      </c>
      <c r="B40" t="s">
        <v>314</v>
      </c>
      <c r="C40">
        <v>5</v>
      </c>
      <c r="D40" s="1">
        <v>0.75</v>
      </c>
      <c r="E40">
        <v>23.6</v>
      </c>
      <c r="F40">
        <v>6.94</v>
      </c>
      <c r="G40">
        <v>15.7</v>
      </c>
      <c r="H40">
        <v>4.5199999999999996</v>
      </c>
      <c r="I40">
        <v>1.5</v>
      </c>
      <c r="J40">
        <v>1.52</v>
      </c>
      <c r="K40">
        <v>0.97199999999999998</v>
      </c>
      <c r="L40" s="1">
        <f t="shared" si="1"/>
        <v>-9.1431990399999989</v>
      </c>
    </row>
    <row r="41" spans="1:12" x14ac:dyDescent="0.25">
      <c r="A41" t="s">
        <v>86</v>
      </c>
      <c r="B41" t="s">
        <v>315</v>
      </c>
      <c r="C41">
        <v>5</v>
      </c>
      <c r="D41" s="1">
        <f>5/8</f>
        <v>0.625</v>
      </c>
      <c r="E41">
        <v>20</v>
      </c>
      <c r="F41">
        <v>5.86</v>
      </c>
      <c r="G41">
        <v>13.6</v>
      </c>
      <c r="H41">
        <v>3.85</v>
      </c>
      <c r="I41">
        <v>1.52</v>
      </c>
      <c r="J41">
        <v>1.47</v>
      </c>
      <c r="K41">
        <v>0.97499999999999998</v>
      </c>
      <c r="L41" s="1">
        <f t="shared" si="1"/>
        <v>-8.0293375000000005</v>
      </c>
    </row>
    <row r="42" spans="1:12" x14ac:dyDescent="0.25">
      <c r="A42" t="s">
        <v>86</v>
      </c>
      <c r="B42" t="s">
        <v>316</v>
      </c>
      <c r="C42">
        <v>5</v>
      </c>
      <c r="D42" s="1">
        <v>0.5</v>
      </c>
      <c r="E42">
        <v>16.2</v>
      </c>
      <c r="F42">
        <v>4.75</v>
      </c>
      <c r="G42">
        <v>11.3</v>
      </c>
      <c r="H42">
        <v>3.15</v>
      </c>
      <c r="I42">
        <v>1.53</v>
      </c>
      <c r="J42">
        <v>1.42</v>
      </c>
      <c r="K42">
        <v>0.98</v>
      </c>
      <c r="L42" s="1">
        <f t="shared" si="1"/>
        <v>-6.7381000000000011</v>
      </c>
    </row>
    <row r="43" spans="1:12" x14ac:dyDescent="0.25">
      <c r="A43" t="s">
        <v>86</v>
      </c>
      <c r="B43" t="s">
        <v>317</v>
      </c>
      <c r="C43">
        <v>5</v>
      </c>
      <c r="D43" s="1">
        <f>3/8</f>
        <v>0.375</v>
      </c>
      <c r="E43">
        <v>12.3</v>
      </c>
      <c r="F43">
        <v>3.61</v>
      </c>
      <c r="G43">
        <v>8.76</v>
      </c>
      <c r="H43">
        <v>2.41</v>
      </c>
      <c r="I43">
        <v>1.55</v>
      </c>
      <c r="J43">
        <v>1.37</v>
      </c>
      <c r="K43">
        <v>0.98599999999999999</v>
      </c>
      <c r="L43" s="1">
        <f t="shared" si="1"/>
        <v>-5.2503724399999996</v>
      </c>
    </row>
    <row r="44" spans="1:12" x14ac:dyDescent="0.25">
      <c r="A44" t="s">
        <v>86</v>
      </c>
      <c r="B44" t="s">
        <v>318</v>
      </c>
      <c r="C44">
        <v>4</v>
      </c>
      <c r="D44" s="1">
        <v>0.75</v>
      </c>
      <c r="E44">
        <v>18.5</v>
      </c>
      <c r="F44">
        <v>5.44</v>
      </c>
      <c r="G44">
        <v>7.62</v>
      </c>
      <c r="H44">
        <v>2.79</v>
      </c>
      <c r="I44">
        <v>1.18</v>
      </c>
      <c r="J44">
        <v>1.27</v>
      </c>
      <c r="K44">
        <v>0.77400000000000002</v>
      </c>
      <c r="L44" s="1">
        <f t="shared" si="1"/>
        <v>-4.3610265599999991</v>
      </c>
    </row>
    <row r="45" spans="1:12" x14ac:dyDescent="0.25">
      <c r="A45" t="s">
        <v>86</v>
      </c>
      <c r="B45" t="s">
        <v>319</v>
      </c>
      <c r="C45">
        <v>4</v>
      </c>
      <c r="D45" s="1">
        <f>5/8</f>
        <v>0.625</v>
      </c>
      <c r="E45">
        <v>15.7</v>
      </c>
      <c r="F45">
        <v>4.6100000000000003</v>
      </c>
      <c r="G45">
        <v>6.62</v>
      </c>
      <c r="H45">
        <v>2.38</v>
      </c>
      <c r="I45">
        <v>1.2</v>
      </c>
      <c r="J45">
        <v>1.22</v>
      </c>
      <c r="K45">
        <v>0.77400000000000002</v>
      </c>
      <c r="L45" s="1">
        <f t="shared" si="1"/>
        <v>-3.8582596399999995</v>
      </c>
    </row>
    <row r="46" spans="1:12" x14ac:dyDescent="0.25">
      <c r="A46" t="s">
        <v>86</v>
      </c>
      <c r="B46" t="s">
        <v>320</v>
      </c>
      <c r="C46">
        <v>4</v>
      </c>
      <c r="D46" s="1">
        <v>0.5</v>
      </c>
      <c r="E46">
        <v>12.8</v>
      </c>
      <c r="F46">
        <v>3.75</v>
      </c>
      <c r="G46">
        <v>5.52</v>
      </c>
      <c r="H46">
        <v>1.96</v>
      </c>
      <c r="I46">
        <v>1.21</v>
      </c>
      <c r="J46">
        <v>1.18</v>
      </c>
      <c r="K46">
        <v>0.77600000000000002</v>
      </c>
      <c r="L46" s="1">
        <f t="shared" si="1"/>
        <v>-3.2618399999999994</v>
      </c>
    </row>
    <row r="47" spans="1:12" x14ac:dyDescent="0.25">
      <c r="A47" t="s">
        <v>86</v>
      </c>
      <c r="B47" t="s">
        <v>321</v>
      </c>
      <c r="C47">
        <v>4</v>
      </c>
      <c r="D47" s="1">
        <f>3/8</f>
        <v>0.375</v>
      </c>
      <c r="E47">
        <v>9.8000000000000007</v>
      </c>
      <c r="F47">
        <v>2.86</v>
      </c>
      <c r="G47">
        <v>4.32</v>
      </c>
      <c r="H47">
        <v>1.5</v>
      </c>
      <c r="I47">
        <v>1.23</v>
      </c>
      <c r="J47">
        <v>1.1299999999999999</v>
      </c>
      <c r="K47">
        <v>0.77900000000000003</v>
      </c>
      <c r="L47" s="1">
        <f t="shared" si="1"/>
        <v>-2.5844347399999998</v>
      </c>
    </row>
    <row r="48" spans="1:12" x14ac:dyDescent="0.25">
      <c r="A48" t="s">
        <v>86</v>
      </c>
      <c r="B48" t="s">
        <v>322</v>
      </c>
      <c r="C48">
        <v>4</v>
      </c>
      <c r="D48" s="1">
        <v>0.25</v>
      </c>
      <c r="E48">
        <v>6.6</v>
      </c>
      <c r="F48">
        <v>1.94</v>
      </c>
      <c r="G48">
        <v>3</v>
      </c>
      <c r="H48">
        <v>1.03</v>
      </c>
      <c r="I48">
        <v>1.25</v>
      </c>
      <c r="J48">
        <v>1.08</v>
      </c>
      <c r="K48">
        <v>0.78300000000000003</v>
      </c>
      <c r="L48" s="1">
        <f t="shared" si="1"/>
        <v>-1.81060734</v>
      </c>
    </row>
    <row r="49" spans="1:12" x14ac:dyDescent="0.25">
      <c r="A49" t="s">
        <v>86</v>
      </c>
      <c r="B49" t="s">
        <v>323</v>
      </c>
      <c r="C49">
        <v>3.5</v>
      </c>
      <c r="D49" s="1">
        <v>0.5</v>
      </c>
      <c r="E49">
        <v>11.1</v>
      </c>
      <c r="F49">
        <v>3.25</v>
      </c>
      <c r="G49">
        <v>3.63</v>
      </c>
      <c r="H49">
        <v>1.48</v>
      </c>
      <c r="I49">
        <v>1.05</v>
      </c>
      <c r="J49">
        <v>1.05</v>
      </c>
      <c r="K49">
        <v>0.67900000000000005</v>
      </c>
      <c r="L49" s="1">
        <f t="shared" si="1"/>
        <v>-2.1316167499999996</v>
      </c>
    </row>
    <row r="50" spans="1:12" x14ac:dyDescent="0.25">
      <c r="A50" t="s">
        <v>86</v>
      </c>
      <c r="B50" t="s">
        <v>324</v>
      </c>
      <c r="C50">
        <v>3.5</v>
      </c>
      <c r="D50" s="1">
        <f>3/8</f>
        <v>0.375</v>
      </c>
      <c r="E50">
        <v>8.5</v>
      </c>
      <c r="F50">
        <v>2.48</v>
      </c>
      <c r="G50">
        <v>2.86</v>
      </c>
      <c r="H50">
        <v>1.1499999999999999</v>
      </c>
      <c r="I50">
        <v>1.07</v>
      </c>
      <c r="J50">
        <v>1</v>
      </c>
      <c r="K50">
        <v>0.68300000000000005</v>
      </c>
      <c r="L50" s="1">
        <f t="shared" si="1"/>
        <v>-1.7031072799999996</v>
      </c>
    </row>
    <row r="51" spans="1:12" x14ac:dyDescent="0.25">
      <c r="A51" t="s">
        <v>86</v>
      </c>
      <c r="B51" t="s">
        <v>325</v>
      </c>
      <c r="C51">
        <v>3.5</v>
      </c>
      <c r="D51" s="1">
        <v>0.25</v>
      </c>
      <c r="E51">
        <v>5.8</v>
      </c>
      <c r="F51">
        <v>1.69</v>
      </c>
      <c r="G51">
        <v>2</v>
      </c>
      <c r="H51">
        <v>0.78700000000000003</v>
      </c>
      <c r="I51">
        <v>1.0900000000000001</v>
      </c>
      <c r="J51">
        <v>0.95399999999999996</v>
      </c>
      <c r="K51">
        <v>0.68799999999999994</v>
      </c>
      <c r="L51" s="1">
        <f t="shared" si="1"/>
        <v>-1.2000486400000001</v>
      </c>
    </row>
    <row r="52" spans="1:12" x14ac:dyDescent="0.25">
      <c r="A52" t="s">
        <v>86</v>
      </c>
      <c r="B52" t="s">
        <v>326</v>
      </c>
      <c r="C52">
        <v>3</v>
      </c>
      <c r="D52" s="1">
        <v>0.5</v>
      </c>
      <c r="E52">
        <v>9.4</v>
      </c>
      <c r="F52">
        <v>2.75</v>
      </c>
      <c r="G52">
        <v>2.2000000000000002</v>
      </c>
      <c r="H52">
        <v>1.06</v>
      </c>
      <c r="I52">
        <v>0.89500000000000002</v>
      </c>
      <c r="J52">
        <v>0.92900000000000005</v>
      </c>
      <c r="K52">
        <v>0.57999999999999996</v>
      </c>
      <c r="L52" s="1">
        <f t="shared" si="1"/>
        <v>-1.2749000000000001</v>
      </c>
    </row>
    <row r="53" spans="1:12" x14ac:dyDescent="0.25">
      <c r="A53" t="s">
        <v>86</v>
      </c>
      <c r="B53" t="s">
        <v>327</v>
      </c>
      <c r="C53">
        <v>3</v>
      </c>
      <c r="D53" s="1">
        <f>3/8</f>
        <v>0.375</v>
      </c>
      <c r="E53">
        <v>7.2</v>
      </c>
      <c r="F53">
        <v>2.11</v>
      </c>
      <c r="G53">
        <v>1.75</v>
      </c>
      <c r="H53">
        <v>0.82499999999999996</v>
      </c>
      <c r="I53">
        <v>0.91</v>
      </c>
      <c r="J53">
        <v>0.88400000000000001</v>
      </c>
      <c r="K53">
        <v>0.58099999999999996</v>
      </c>
      <c r="L53" s="1">
        <f t="shared" si="1"/>
        <v>-1.0377462900000003</v>
      </c>
    </row>
    <row r="54" spans="1:12" x14ac:dyDescent="0.25">
      <c r="A54" t="s">
        <v>86</v>
      </c>
      <c r="B54" t="s">
        <v>328</v>
      </c>
      <c r="C54">
        <v>3</v>
      </c>
      <c r="D54" s="1">
        <v>0.25</v>
      </c>
      <c r="E54">
        <v>4.9000000000000004</v>
      </c>
      <c r="F54">
        <v>1.44</v>
      </c>
      <c r="G54">
        <v>1.23</v>
      </c>
      <c r="H54">
        <v>0.56899999999999995</v>
      </c>
      <c r="I54">
        <v>0.92600000000000005</v>
      </c>
      <c r="J54">
        <v>0.83599999999999997</v>
      </c>
      <c r="K54">
        <v>0.58499999999999996</v>
      </c>
      <c r="L54" s="1">
        <f t="shared" si="1"/>
        <v>-0.73719600000000007</v>
      </c>
    </row>
    <row r="55" spans="1:12" x14ac:dyDescent="0.25">
      <c r="A55" t="s">
        <v>86</v>
      </c>
      <c r="B55" t="s">
        <v>329</v>
      </c>
      <c r="C55">
        <v>2.5</v>
      </c>
      <c r="D55" s="1">
        <f>1/2</f>
        <v>0.5</v>
      </c>
      <c r="E55">
        <v>7.7</v>
      </c>
      <c r="F55">
        <v>2.25</v>
      </c>
      <c r="G55">
        <v>1.22</v>
      </c>
      <c r="H55">
        <v>0.71599999999999997</v>
      </c>
      <c r="I55">
        <v>0.73499999999999999</v>
      </c>
      <c r="J55">
        <v>0.80300000000000005</v>
      </c>
      <c r="K55">
        <v>0.48099999999999998</v>
      </c>
      <c r="L55" s="1">
        <f t="shared" si="1"/>
        <v>-0.69943774999999997</v>
      </c>
    </row>
    <row r="56" spans="1:12" x14ac:dyDescent="0.25">
      <c r="A56" t="s">
        <v>86</v>
      </c>
      <c r="B56" t="s">
        <v>330</v>
      </c>
      <c r="C56">
        <v>2.5</v>
      </c>
      <c r="D56" s="1">
        <f>3/8</f>
        <v>0.375</v>
      </c>
      <c r="E56">
        <v>5.9</v>
      </c>
      <c r="F56">
        <v>1.73</v>
      </c>
      <c r="G56">
        <v>0.97199999999999998</v>
      </c>
      <c r="H56">
        <v>0.55800000000000005</v>
      </c>
      <c r="I56">
        <v>0.749</v>
      </c>
      <c r="J56">
        <v>0.75800000000000001</v>
      </c>
      <c r="K56">
        <v>0.48099999999999998</v>
      </c>
      <c r="L56" s="1">
        <f t="shared" si="1"/>
        <v>-0.57174546999999998</v>
      </c>
    </row>
    <row r="57" spans="1:12" x14ac:dyDescent="0.25">
      <c r="A57" t="s">
        <v>86</v>
      </c>
      <c r="B57" t="s">
        <v>331</v>
      </c>
      <c r="C57">
        <v>2.5</v>
      </c>
      <c r="D57" s="1">
        <v>0.25</v>
      </c>
      <c r="E57">
        <v>4.0999999999999996</v>
      </c>
      <c r="F57">
        <v>1.19</v>
      </c>
      <c r="G57">
        <v>0.69199999999999995</v>
      </c>
      <c r="H57">
        <v>0.38700000000000001</v>
      </c>
      <c r="I57">
        <v>0.76400000000000001</v>
      </c>
      <c r="J57">
        <v>0.71099999999999997</v>
      </c>
      <c r="K57">
        <v>0.48199999999999998</v>
      </c>
      <c r="L57" s="1">
        <f t="shared" si="1"/>
        <v>-0.41553444</v>
      </c>
    </row>
    <row r="58" spans="1:12" x14ac:dyDescent="0.25">
      <c r="A58" t="s">
        <v>86</v>
      </c>
      <c r="B58" t="s">
        <v>332</v>
      </c>
      <c r="C58">
        <v>2.5</v>
      </c>
      <c r="D58" s="1">
        <f>3/16</f>
        <v>0.1875</v>
      </c>
      <c r="E58">
        <v>3.07</v>
      </c>
      <c r="F58">
        <v>0.9</v>
      </c>
      <c r="G58">
        <v>0.53500000000000003</v>
      </c>
      <c r="H58">
        <v>0.29499999999999998</v>
      </c>
      <c r="I58">
        <v>0.77100000000000002</v>
      </c>
      <c r="J58">
        <v>0.68700000000000006</v>
      </c>
      <c r="K58">
        <v>0.48199999999999998</v>
      </c>
      <c r="L58" s="1">
        <f t="shared" si="1"/>
        <v>-0.32590840000000004</v>
      </c>
    </row>
    <row r="59" spans="1:12" x14ac:dyDescent="0.25">
      <c r="A59" t="s">
        <v>86</v>
      </c>
      <c r="B59" t="s">
        <v>333</v>
      </c>
      <c r="C59">
        <v>2</v>
      </c>
      <c r="D59" s="1">
        <f>3/8</f>
        <v>0.375</v>
      </c>
      <c r="E59">
        <v>4.7</v>
      </c>
      <c r="F59">
        <v>1.36</v>
      </c>
      <c r="G59">
        <v>0.47599999999999998</v>
      </c>
      <c r="H59">
        <v>0.34799999999999998</v>
      </c>
      <c r="I59">
        <v>0.59099999999999997</v>
      </c>
      <c r="J59">
        <v>0.63200000000000001</v>
      </c>
      <c r="K59">
        <v>0.38600000000000001</v>
      </c>
      <c r="L59" s="1">
        <f t="shared" si="1"/>
        <v>-0.27336543999999996</v>
      </c>
    </row>
    <row r="60" spans="1:12" x14ac:dyDescent="0.25">
      <c r="A60" t="s">
        <v>86</v>
      </c>
      <c r="B60" t="s">
        <v>334</v>
      </c>
      <c r="C60">
        <v>2</v>
      </c>
      <c r="D60" s="1">
        <v>0.25</v>
      </c>
      <c r="E60">
        <v>3.19</v>
      </c>
      <c r="F60">
        <v>0.93799999999999994</v>
      </c>
      <c r="G60">
        <v>0.34599999999999997</v>
      </c>
      <c r="H60">
        <v>0.24399999999999999</v>
      </c>
      <c r="I60">
        <v>0.60499999999999998</v>
      </c>
      <c r="J60">
        <v>0.58599999999999997</v>
      </c>
      <c r="K60">
        <v>0.38700000000000001</v>
      </c>
      <c r="L60" s="1">
        <f t="shared" si="1"/>
        <v>-0.20551667799999998</v>
      </c>
    </row>
    <row r="61" spans="1:12" x14ac:dyDescent="0.25">
      <c r="A61" t="s">
        <v>86</v>
      </c>
      <c r="B61" t="s">
        <v>335</v>
      </c>
      <c r="C61">
        <v>2</v>
      </c>
      <c r="D61" s="1">
        <f>1/8</f>
        <v>0.125</v>
      </c>
      <c r="E61">
        <v>1.65</v>
      </c>
      <c r="F61">
        <v>0.48399999999999999</v>
      </c>
      <c r="G61">
        <v>0.189</v>
      </c>
      <c r="H61">
        <v>0.129</v>
      </c>
      <c r="I61">
        <v>0.62</v>
      </c>
      <c r="J61">
        <v>0.53400000000000003</v>
      </c>
      <c r="K61">
        <v>0.39100000000000001</v>
      </c>
      <c r="L61" s="1">
        <f t="shared" si="1"/>
        <v>-0.115005596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E450-42FC-49DD-AB3E-D5A78EADB61C}">
  <sheetPr codeName="Hoja6"/>
  <dimension ref="A1:T41"/>
  <sheetViews>
    <sheetView workbookViewId="0">
      <selection activeCell="AC5" sqref="AC5"/>
    </sheetView>
  </sheetViews>
  <sheetFormatPr baseColWidth="10" defaultRowHeight="15" x14ac:dyDescent="0.25"/>
  <cols>
    <col min="2" max="4" width="16.140625" customWidth="1"/>
    <col min="7" max="7" width="14.85546875" bestFit="1" customWidth="1"/>
    <col min="18" max="18" width="18.140625" style="1" customWidth="1"/>
    <col min="19" max="19" width="18.140625" customWidth="1"/>
    <col min="20" max="20" width="11.85546875" bestFit="1" customWidth="1"/>
  </cols>
  <sheetData>
    <row r="1" spans="1:20" x14ac:dyDescent="0.25">
      <c r="A1" t="s">
        <v>0</v>
      </c>
      <c r="B1" t="s">
        <v>11</v>
      </c>
      <c r="C1" t="s">
        <v>12</v>
      </c>
      <c r="D1" t="s">
        <v>13</v>
      </c>
      <c r="E1" t="s">
        <v>14</v>
      </c>
      <c r="F1" t="s">
        <v>270</v>
      </c>
      <c r="G1" t="s">
        <v>2</v>
      </c>
      <c r="H1" t="s">
        <v>3</v>
      </c>
      <c r="I1" t="s">
        <v>4</v>
      </c>
      <c r="J1" t="s">
        <v>5</v>
      </c>
      <c r="K1" t="s">
        <v>336</v>
      </c>
      <c r="L1" t="s">
        <v>7</v>
      </c>
      <c r="M1" t="s">
        <v>8</v>
      </c>
      <c r="N1" t="s">
        <v>9</v>
      </c>
      <c r="O1" t="s">
        <v>213</v>
      </c>
      <c r="P1" t="s">
        <v>274</v>
      </c>
      <c r="Q1" t="s">
        <v>337</v>
      </c>
      <c r="R1" s="1" t="s">
        <v>275</v>
      </c>
    </row>
    <row r="2" spans="1:20" x14ac:dyDescent="0.25">
      <c r="A2" t="s">
        <v>1</v>
      </c>
      <c r="B2" t="s">
        <v>338</v>
      </c>
      <c r="C2">
        <v>203</v>
      </c>
      <c r="D2">
        <v>152</v>
      </c>
      <c r="E2">
        <v>25.4</v>
      </c>
      <c r="F2">
        <v>65.5</v>
      </c>
      <c r="G2">
        <v>8390</v>
      </c>
      <c r="H2">
        <v>33.700000000000003</v>
      </c>
      <c r="I2">
        <v>247</v>
      </c>
      <c r="J2">
        <v>63.2</v>
      </c>
      <c r="K2">
        <v>67.3</v>
      </c>
      <c r="L2">
        <v>16.100000000000001</v>
      </c>
      <c r="M2">
        <v>146</v>
      </c>
      <c r="N2">
        <v>43.7</v>
      </c>
      <c r="O2">
        <v>41.9</v>
      </c>
      <c r="P2">
        <v>32.5</v>
      </c>
      <c r="Q2">
        <v>0.54200000000000004</v>
      </c>
      <c r="R2" s="1">
        <f>-(0.5*(H2+L2)*1000000-P2^2*G2)</f>
        <v>-16038062.500000004</v>
      </c>
    </row>
    <row r="3" spans="1:20" x14ac:dyDescent="0.25">
      <c r="A3" t="s">
        <v>1</v>
      </c>
      <c r="B3" t="s">
        <v>339</v>
      </c>
      <c r="C3">
        <v>203</v>
      </c>
      <c r="D3">
        <v>152</v>
      </c>
      <c r="E3">
        <v>19</v>
      </c>
      <c r="F3">
        <v>50.1</v>
      </c>
      <c r="G3">
        <v>6410</v>
      </c>
      <c r="H3">
        <v>26.4</v>
      </c>
      <c r="I3">
        <v>192</v>
      </c>
      <c r="J3">
        <v>64</v>
      </c>
      <c r="K3">
        <v>64.8</v>
      </c>
      <c r="L3">
        <v>12.8</v>
      </c>
      <c r="M3">
        <v>113</v>
      </c>
      <c r="N3">
        <v>44.5</v>
      </c>
      <c r="O3">
        <v>39.6</v>
      </c>
      <c r="P3">
        <v>32.799999999999997</v>
      </c>
      <c r="Q3">
        <v>0.55000000000000004</v>
      </c>
      <c r="R3" s="1">
        <f t="shared" ref="R3:R21" si="0">-(0.5*(H3+L3)*1000000-P3^2*G3)</f>
        <v>-12703865.600000001</v>
      </c>
      <c r="T3" t="str" cm="1">
        <f t="array" ref="T3">listaPerfiles(B2)</f>
        <v>{"L203X152X25.4(SI)","L203X152X19(SI)","L203X152X12.7(SI)","L152X102X19(SI)","L152X102X12.7(SI)","L152X102X9.5(SI)","L127X76X12.7(SI)","L127X76X9.5(SI)","L127X76X6.4(SI)","L102X76X12.7(SI)","L102X76X9.5(SI)","L102X76X6.4(SI)","L89X64X12.7(SI)","L89X64X9.5(SI)","L89X64X6.4(SI)","L76X51X12.7(SI)","L76X51X9.5(SI)","L76X51X6.4(SI)","L64X51X9.5(SI)","L64X51X6.4(SI)","L8X6X1(US)","L8X6X3⁄4(US)","L8X6X1⁄2(US)","L6X4X3⁄4(US)","L6X4X1⁄2(US)","L6X4X3⁄8(US)","L5X3X1⁄2(US)","L5X3X3⁄8(US)","L5X3X1⁄4(US)","L4X3X1⁄2(US)","L4X3X3⁄8(US)","L4X3X1⁄4(US)","L3½X2½X1⁄2(US)","L3½X2½X3⁄8(US)","L3½X2½X1⁄4(US)","L3X2X1⁄2(US)","L3X2X3⁄8(US)","L3X2X1⁄4(US)","L2½X2X3⁄8(US)","L2½X2X1⁄4(US)"};</v>
      </c>
    </row>
    <row r="4" spans="1:20" x14ac:dyDescent="0.25">
      <c r="A4" t="s">
        <v>1</v>
      </c>
      <c r="B4" t="s">
        <v>340</v>
      </c>
      <c r="C4">
        <v>203</v>
      </c>
      <c r="D4">
        <v>152</v>
      </c>
      <c r="E4">
        <v>12.7</v>
      </c>
      <c r="F4">
        <v>34.1</v>
      </c>
      <c r="G4">
        <v>4350</v>
      </c>
      <c r="H4">
        <v>18.5</v>
      </c>
      <c r="I4">
        <v>131</v>
      </c>
      <c r="J4">
        <v>64.8</v>
      </c>
      <c r="K4">
        <v>62.5</v>
      </c>
      <c r="L4">
        <v>9.0299999999999994</v>
      </c>
      <c r="M4">
        <v>78.5</v>
      </c>
      <c r="N4">
        <v>45.5</v>
      </c>
      <c r="O4">
        <v>37.1</v>
      </c>
      <c r="P4">
        <v>33</v>
      </c>
      <c r="Q4">
        <v>0.55700000000000005</v>
      </c>
      <c r="R4" s="1">
        <f t="shared" si="0"/>
        <v>-9027850</v>
      </c>
      <c r="T4" t="str" cm="1">
        <f t="array" ref="T4">perfilesL2(B2)</f>
        <v>{
{{8390_mm^2,33.7E6_mm^4,16.1E6_mm^4,-16038062.500_mm^4,41.9_mm,67.3_mm},{203_mm,152_mm,25.4_mm}},
{{6410_mm^2,26.4E6_mm^4,12.8E6_mm^4,-12703865.600_mm^4,39.6_mm,64.8_mm},{203_mm,152_mm,19_mm}},
{{4350_mm^2,18.5E6_mm^4,9.03E6_mm^4,-9027850.000_mm^4,37.1_mm,62.5_mm},{203_mm,152_mm,12.7_mm}},
{{4480_mm^2,10.2E6_mm^4,3.59E6_mm^4,-4785412.800_mm^4,27.2_mm,52.6_mm},{_mm,_mm,19_mm}},
{{3060_mm^2,7.2E6_mm^4,2.59E6_mm^4,-3427393.400_mm^4,24.9_mm,50.3_mm},{_mm,_mm,12.7_mm}},
{{2330_mm^2,5.58E6_mm^4,2.02E6_mm^4,-2662004.700_mm^4,23.7_mm,49_mm},{_mm,_mm,9.5_mm}},
{{2420_mm^2,3.93E6_mm^4,1.06E6_mm^4,-1852030.200_mm^4,18.9_mm,44.2_mm},{_mm,_mm,12.7_mm}},
{{1850_mm^2,3.06E6_mm^4,0.837E6_mm^4,-1450924.000_mm^4,17.7_mm,42.9_mm},{_mm,_mm,9.5_mm}},
{{1250_mm^2,2.12E6_mm^4,0.587E6_mm^4,-1009050.000_mm^4,16.5_mm,41.7_mm},{_mm,_mm,6.4_mm}},
{{2100_mm^2,2.09E6_mm^4,0.999E6_mm^4,-1000159.000_mm^4,20.9_mm,33.5_mm},{_mm,_mm,12.7_mm}},
{{1600_mm^2,1.64E6_mm^4,0.787E6_mm^4,-793596.000_mm^4,19.7_mm,32.3_mm},{_mm,_mm,9.5_mm}},
{{1090_mm^2,1.14E6_mm^4,0.554E6_mm^4,-560940.400_mm^4,18.4_mm,31_mm},{_mm,_mm,6.4_mm}},
{{1770_mm^2,1.35E6_mm^4,0.566E6_mm^4,-635417.500_mm^4,17.8_mm,30.5_mm},{_mm,_mm,12.7_mm}},
{{1360_mm^2,1.07E6_mm^4,0.454E6_mm^4,-510454.400_mm^4,16.6_mm,29.2_mm},{_mm,_mm,9.5_mm}},
{{929_mm^2,0.753E6_mm^4,0.323E6_mm^4,-363635.990_mm^4,15.4_mm,27.9_mm},{_mm,_mm,6.4_mm}},
{{1450_mm^2,0.799E6_mm^4,0.278E6_mm^4,-369372.000_mm^4,14.7_mm,27.4_mm},{_mm,_mm,12.7_mm}},
{{1120_mm^2,0.641E6_mm^4,0.224E6_mm^4,-301863.200_mm^4,13.6_mm,26.2_mm},{_mm,_mm,9.5_mm}},
{{768_mm^2,0.454E6_mm^4,0.162E6_mm^4,-216753.920_mm^4,12.4_mm,24.9_mm},{_mm,_mm,6.4_mm}},
{{1000_mm^2,0.38E6_mm^4,0.214E6_mm^4,-184640.000_mm^4,14.7_mm,21_mm},{_mm,_mm,9.5_mm}},
{{684_mm^2,0.273E6_mm^4,0.155E6_mm^4,-135688.840_mm^4,13.5_mm,19.8_mm},{_mm,_mm,6.4_mm}},
{{13_in^2,80.9_in^4,38.8_in^4,-38.551_in^4,1.65_in,2.65_in},{_in,_in,1_in}},
{{9.94_in^2,63.5_in^4,30.8_in^4,-30.609_in^4,1.56_in,2.55_in},{_in,_in,0.750_in}},
{{6.75_in^2,44.4_in^4,21.7_in^4,-21.643_in^4,1.46_in,2.46_in},{_in,_in,0.500_in}},
{{6.94_in^2,24.5_in^4,8.63_in^4,-11.480_in^4,1.07_in,2.07_in},{_in,_in,0.750_in}},
{{4.75_in^2,17.3_in^4,6.22_in^4,-8.214_in^4,0.981_in,1.98_in},{_in,_in,0.500_in}},
{{3.61_in^2,13.4_in^4,4.86_in^4,-6.398_in^4,0.933_in,1.93_in},{_in,_in,0.375_in}},
{{3.75_in^2,9.43_in^4,2.55_in^4,-4.444_in^4,0.746_in,1.74_in},{_in,_in,0.500_in}},
{{2.86_in^2,7.35_in^4,2.01_in^4,-3.486_in^4,0.698_in,1.69_in},{_in,_in,0.375_in}},
{{1.94_in^2,5.09_in^4,1.41_in^4,-2.425_in^4,0.648_in,1.64_in},{_in,_in,0.250_in}},
{{3.25_in^2,5.02_in^4,2.4_in^4,-2.408_in^4,0.822_in,1.32_in},{_in,_in,0.500_in}},
{{2.48_in^2,3.94_in^4,1.89_in^4,-1.912_in^4,0.775_in,1.27_in},{_in,_in,0.375_in}},
{{1.69_in^2,2.75_in^4,1.33_in^4,-1.350_in^4,0.725_in,1.22_in},{_in,_in,0.250_in}},
{{2.75_in^2,3.24_in^4,1.36_in^4,-1.522_in^4,0.701_in,1.2_in},{_in,_in,0.500_in}},
{{2.11_in^2,2.56_in^4,1.09_in^4,-1.221_in^4,0.655_in,1.15_in},{_in,_in,0.375_in}},
{{1.44_in^2,1.81_in^4,0.775_in^4,-0.871_in^4,0.607_in,1.1_in},{_in,_in,0.250_in}},
{{2.25_in^2,1.92_in^4,0.667_in^4,-0.887_in^4,0.58_in,1.08_in},{_in,_in,0.500_in}},
{{1.73_in^2,1.54_in^4,0.539_in^4,-0.726_in^4,0.535_in,1.03_in},{_in,_in,0.375_in}},
{{1.19_in^2,1.09_in^4,0.39_in^4,-0.519_in^4,0.487_in,0.98_in},{_in,_in,0.250_in}},
{{1.55_in^2,0.914_in^4,0.513_in^4,-0.441_in^4,0.578_in,0.826_in},{_in,_in,0.375_in}},
{{1.06_in^2,0.656_in^4,0.372_in^4,-0.324_in^4,0.532_in,0.779_in},{_in,_in,0.250_in}}
};</v>
      </c>
    </row>
    <row r="5" spans="1:20" x14ac:dyDescent="0.25">
      <c r="A5" t="s">
        <v>1</v>
      </c>
      <c r="B5" t="s">
        <v>341</v>
      </c>
      <c r="E5">
        <v>19</v>
      </c>
      <c r="F5">
        <v>35</v>
      </c>
      <c r="G5">
        <v>4480</v>
      </c>
      <c r="H5">
        <v>10.199999999999999</v>
      </c>
      <c r="I5">
        <v>102</v>
      </c>
      <c r="J5">
        <v>47.8</v>
      </c>
      <c r="K5">
        <v>52.6</v>
      </c>
      <c r="L5">
        <v>3.59</v>
      </c>
      <c r="M5">
        <v>48.3</v>
      </c>
      <c r="N5">
        <v>28.4</v>
      </c>
      <c r="O5">
        <v>27.2</v>
      </c>
      <c r="P5">
        <v>21.7</v>
      </c>
      <c r="Q5">
        <v>0.42799999999999999</v>
      </c>
      <c r="R5" s="1">
        <f t="shared" si="0"/>
        <v>-4785412.8000000007</v>
      </c>
    </row>
    <row r="6" spans="1:20" x14ac:dyDescent="0.25">
      <c r="A6" t="s">
        <v>1</v>
      </c>
      <c r="B6" t="s">
        <v>342</v>
      </c>
      <c r="E6">
        <v>12.7</v>
      </c>
      <c r="F6">
        <v>24</v>
      </c>
      <c r="G6">
        <v>3060</v>
      </c>
      <c r="H6">
        <v>7.2</v>
      </c>
      <c r="I6">
        <v>70.599999999999994</v>
      </c>
      <c r="J6">
        <v>48.5</v>
      </c>
      <c r="K6">
        <v>50.3</v>
      </c>
      <c r="L6">
        <v>2.59</v>
      </c>
      <c r="M6">
        <v>33.799999999999997</v>
      </c>
      <c r="N6">
        <v>29</v>
      </c>
      <c r="O6">
        <v>24.9</v>
      </c>
      <c r="P6">
        <v>21.9</v>
      </c>
      <c r="Q6">
        <v>0.44</v>
      </c>
      <c r="R6" s="1">
        <f t="shared" si="0"/>
        <v>-3427393.4000000004</v>
      </c>
    </row>
    <row r="7" spans="1:20" x14ac:dyDescent="0.25">
      <c r="A7" t="s">
        <v>1</v>
      </c>
      <c r="B7" t="s">
        <v>343</v>
      </c>
      <c r="E7">
        <v>9.5</v>
      </c>
      <c r="F7">
        <v>18.2</v>
      </c>
      <c r="G7">
        <v>2330</v>
      </c>
      <c r="H7">
        <v>5.58</v>
      </c>
      <c r="I7">
        <v>54.1</v>
      </c>
      <c r="J7">
        <v>49</v>
      </c>
      <c r="K7">
        <v>49</v>
      </c>
      <c r="L7">
        <v>2.02</v>
      </c>
      <c r="M7">
        <v>25.9</v>
      </c>
      <c r="N7">
        <v>29.5</v>
      </c>
      <c r="O7">
        <v>23.7</v>
      </c>
      <c r="P7">
        <v>22.1</v>
      </c>
      <c r="Q7">
        <v>0.44600000000000001</v>
      </c>
      <c r="R7" s="1">
        <f t="shared" si="0"/>
        <v>-2662004.6999999997</v>
      </c>
    </row>
    <row r="8" spans="1:20" x14ac:dyDescent="0.25">
      <c r="A8" t="s">
        <v>1</v>
      </c>
      <c r="B8" t="s">
        <v>344</v>
      </c>
      <c r="E8">
        <v>12.7</v>
      </c>
      <c r="F8">
        <v>19</v>
      </c>
      <c r="G8">
        <v>2420</v>
      </c>
      <c r="H8">
        <v>3.93</v>
      </c>
      <c r="I8">
        <v>47.4</v>
      </c>
      <c r="J8">
        <v>40.1</v>
      </c>
      <c r="K8">
        <v>44.2</v>
      </c>
      <c r="L8">
        <v>1.06</v>
      </c>
      <c r="M8">
        <v>18.5</v>
      </c>
      <c r="N8">
        <v>20.9</v>
      </c>
      <c r="O8">
        <v>18.899999999999999</v>
      </c>
      <c r="P8">
        <v>16.3</v>
      </c>
      <c r="Q8">
        <v>0.35699999999999998</v>
      </c>
      <c r="R8" s="1">
        <f t="shared" si="0"/>
        <v>-1852030.2</v>
      </c>
    </row>
    <row r="9" spans="1:20" x14ac:dyDescent="0.25">
      <c r="A9" t="s">
        <v>1</v>
      </c>
      <c r="B9" t="s">
        <v>345</v>
      </c>
      <c r="E9">
        <v>9.5</v>
      </c>
      <c r="F9">
        <v>14.5</v>
      </c>
      <c r="G9">
        <v>1850</v>
      </c>
      <c r="H9">
        <v>3.06</v>
      </c>
      <c r="I9">
        <v>36.4</v>
      </c>
      <c r="J9">
        <v>40.6</v>
      </c>
      <c r="K9">
        <v>42.9</v>
      </c>
      <c r="L9">
        <v>0.83699999999999997</v>
      </c>
      <c r="M9">
        <v>14.3</v>
      </c>
      <c r="N9">
        <v>21.3</v>
      </c>
      <c r="O9">
        <v>17.7</v>
      </c>
      <c r="P9">
        <v>16.399999999999999</v>
      </c>
      <c r="Q9">
        <v>0.36399999999999999</v>
      </c>
      <c r="R9" s="1">
        <f t="shared" si="0"/>
        <v>-1450924.0000000002</v>
      </c>
    </row>
    <row r="10" spans="1:20" x14ac:dyDescent="0.25">
      <c r="A10" t="s">
        <v>1</v>
      </c>
      <c r="B10" t="s">
        <v>346</v>
      </c>
      <c r="E10">
        <v>6.4</v>
      </c>
      <c r="F10">
        <v>9.8000000000000007</v>
      </c>
      <c r="G10">
        <v>1250</v>
      </c>
      <c r="H10">
        <v>2.12</v>
      </c>
      <c r="I10">
        <v>24.7</v>
      </c>
      <c r="J10">
        <v>41.1</v>
      </c>
      <c r="K10">
        <v>41.7</v>
      </c>
      <c r="L10">
        <v>0.58699999999999997</v>
      </c>
      <c r="M10">
        <v>9.83</v>
      </c>
      <c r="N10">
        <v>21.7</v>
      </c>
      <c r="O10">
        <v>16.5</v>
      </c>
      <c r="P10">
        <v>16.600000000000001</v>
      </c>
      <c r="Q10">
        <v>0.371</v>
      </c>
      <c r="R10" s="1">
        <f t="shared" si="0"/>
        <v>-1009050</v>
      </c>
    </row>
    <row r="11" spans="1:20" x14ac:dyDescent="0.25">
      <c r="A11" t="s">
        <v>1</v>
      </c>
      <c r="B11" t="s">
        <v>347</v>
      </c>
      <c r="E11">
        <v>12.7</v>
      </c>
      <c r="F11">
        <v>16.399999999999999</v>
      </c>
      <c r="G11">
        <v>2100</v>
      </c>
      <c r="H11">
        <v>2.09</v>
      </c>
      <c r="I11">
        <v>30.6</v>
      </c>
      <c r="J11">
        <v>31.5</v>
      </c>
      <c r="K11">
        <v>33.5</v>
      </c>
      <c r="L11">
        <v>0.999</v>
      </c>
      <c r="M11">
        <v>18</v>
      </c>
      <c r="N11">
        <v>21.8</v>
      </c>
      <c r="O11">
        <v>20.9</v>
      </c>
      <c r="P11">
        <v>16.100000000000001</v>
      </c>
      <c r="Q11">
        <v>0.54200000000000004</v>
      </c>
      <c r="R11" s="1">
        <f t="shared" si="0"/>
        <v>-1000158.9999999999</v>
      </c>
    </row>
    <row r="12" spans="1:20" x14ac:dyDescent="0.25">
      <c r="A12" t="s">
        <v>1</v>
      </c>
      <c r="B12" t="s">
        <v>348</v>
      </c>
      <c r="E12">
        <v>9.5</v>
      </c>
      <c r="F12">
        <v>12.6</v>
      </c>
      <c r="G12">
        <v>1600</v>
      </c>
      <c r="H12">
        <v>1.64</v>
      </c>
      <c r="I12">
        <v>23.6</v>
      </c>
      <c r="J12">
        <v>32</v>
      </c>
      <c r="K12">
        <v>32.299999999999997</v>
      </c>
      <c r="L12">
        <v>0.78700000000000003</v>
      </c>
      <c r="M12">
        <v>13.9</v>
      </c>
      <c r="N12">
        <v>22.2</v>
      </c>
      <c r="O12">
        <v>19.7</v>
      </c>
      <c r="P12">
        <v>16.2</v>
      </c>
      <c r="Q12">
        <v>0.55100000000000005</v>
      </c>
      <c r="R12" s="1">
        <f t="shared" si="0"/>
        <v>-793596</v>
      </c>
    </row>
    <row r="13" spans="1:20" x14ac:dyDescent="0.25">
      <c r="A13" t="s">
        <v>1</v>
      </c>
      <c r="B13" t="s">
        <v>349</v>
      </c>
      <c r="E13">
        <v>6.4</v>
      </c>
      <c r="F13">
        <v>8.6</v>
      </c>
      <c r="G13">
        <v>1090</v>
      </c>
      <c r="H13">
        <v>1.1399999999999999</v>
      </c>
      <c r="I13">
        <v>16.2</v>
      </c>
      <c r="J13">
        <v>32.299999999999997</v>
      </c>
      <c r="K13">
        <v>31</v>
      </c>
      <c r="L13">
        <v>0.55400000000000005</v>
      </c>
      <c r="M13">
        <v>9.59</v>
      </c>
      <c r="N13">
        <v>22.5</v>
      </c>
      <c r="O13">
        <v>18.399999999999999</v>
      </c>
      <c r="P13">
        <v>16.2</v>
      </c>
      <c r="Q13">
        <v>0.55800000000000005</v>
      </c>
      <c r="R13" s="1">
        <f t="shared" si="0"/>
        <v>-560940.4</v>
      </c>
    </row>
    <row r="14" spans="1:20" x14ac:dyDescent="0.25">
      <c r="A14" t="s">
        <v>1</v>
      </c>
      <c r="B14" t="s">
        <v>350</v>
      </c>
      <c r="E14">
        <v>12.7</v>
      </c>
      <c r="F14">
        <v>13.9</v>
      </c>
      <c r="G14">
        <v>1770</v>
      </c>
      <c r="H14">
        <v>1.35</v>
      </c>
      <c r="I14">
        <v>23.1</v>
      </c>
      <c r="J14">
        <v>27.4</v>
      </c>
      <c r="K14">
        <v>30.5</v>
      </c>
      <c r="L14">
        <v>0.56599999999999995</v>
      </c>
      <c r="M14">
        <v>12.4</v>
      </c>
      <c r="N14">
        <v>17.8</v>
      </c>
      <c r="O14">
        <v>17.8</v>
      </c>
      <c r="P14">
        <v>13.5</v>
      </c>
      <c r="Q14">
        <v>0.48499999999999999</v>
      </c>
      <c r="R14" s="1">
        <f t="shared" si="0"/>
        <v>-635417.5</v>
      </c>
    </row>
    <row r="15" spans="1:20" x14ac:dyDescent="0.25">
      <c r="A15" t="s">
        <v>1</v>
      </c>
      <c r="B15" t="s">
        <v>351</v>
      </c>
      <c r="E15">
        <v>9.5</v>
      </c>
      <c r="F15">
        <v>10.7</v>
      </c>
      <c r="G15">
        <v>1360</v>
      </c>
      <c r="H15">
        <v>1.07</v>
      </c>
      <c r="I15">
        <v>17.899999999999999</v>
      </c>
      <c r="J15">
        <v>27.9</v>
      </c>
      <c r="K15">
        <v>29.2</v>
      </c>
      <c r="L15">
        <v>0.45400000000000001</v>
      </c>
      <c r="M15">
        <v>9.65</v>
      </c>
      <c r="N15">
        <v>18.2</v>
      </c>
      <c r="O15">
        <v>16.600000000000001</v>
      </c>
      <c r="P15">
        <v>13.6</v>
      </c>
      <c r="Q15">
        <v>0.495</v>
      </c>
      <c r="R15" s="1">
        <f t="shared" si="0"/>
        <v>-510454.4</v>
      </c>
    </row>
    <row r="16" spans="1:20" x14ac:dyDescent="0.25">
      <c r="A16" t="s">
        <v>1</v>
      </c>
      <c r="B16" t="s">
        <v>352</v>
      </c>
      <c r="E16">
        <v>6.4</v>
      </c>
      <c r="F16">
        <v>7.3</v>
      </c>
      <c r="G16">
        <v>929</v>
      </c>
      <c r="H16">
        <v>0.753</v>
      </c>
      <c r="I16">
        <v>12.3</v>
      </c>
      <c r="J16">
        <v>28.4</v>
      </c>
      <c r="K16">
        <v>27.9</v>
      </c>
      <c r="L16">
        <v>0.32300000000000001</v>
      </c>
      <c r="M16">
        <v>6.72</v>
      </c>
      <c r="N16">
        <v>18.600000000000001</v>
      </c>
      <c r="O16">
        <v>15.4</v>
      </c>
      <c r="P16">
        <v>13.7</v>
      </c>
      <c r="Q16">
        <v>0.504</v>
      </c>
      <c r="R16" s="1">
        <f t="shared" si="0"/>
        <v>-363635.99</v>
      </c>
    </row>
    <row r="17" spans="1:18" x14ac:dyDescent="0.25">
      <c r="A17" t="s">
        <v>1</v>
      </c>
      <c r="B17" t="s">
        <v>353</v>
      </c>
      <c r="E17">
        <v>12.7</v>
      </c>
      <c r="F17">
        <v>11.5</v>
      </c>
      <c r="G17">
        <v>1450</v>
      </c>
      <c r="H17">
        <v>0.79900000000000004</v>
      </c>
      <c r="I17">
        <v>16.399999999999999</v>
      </c>
      <c r="J17">
        <v>23.4</v>
      </c>
      <c r="K17">
        <v>27.4</v>
      </c>
      <c r="L17">
        <v>0.27800000000000002</v>
      </c>
      <c r="M17">
        <v>7.7</v>
      </c>
      <c r="N17">
        <v>13.8</v>
      </c>
      <c r="O17">
        <v>14.7</v>
      </c>
      <c r="P17">
        <v>10.8</v>
      </c>
      <c r="Q17">
        <v>0.41299999999999998</v>
      </c>
      <c r="R17" s="1">
        <f t="shared" si="0"/>
        <v>-369372</v>
      </c>
    </row>
    <row r="18" spans="1:18" x14ac:dyDescent="0.25">
      <c r="A18" t="s">
        <v>1</v>
      </c>
      <c r="B18" t="s">
        <v>354</v>
      </c>
      <c r="E18">
        <v>9.5</v>
      </c>
      <c r="F18">
        <v>8.8000000000000007</v>
      </c>
      <c r="G18">
        <v>1120</v>
      </c>
      <c r="H18">
        <v>0.64100000000000001</v>
      </c>
      <c r="I18">
        <v>12.8</v>
      </c>
      <c r="J18">
        <v>23.8</v>
      </c>
      <c r="K18">
        <v>26.2</v>
      </c>
      <c r="L18">
        <v>0.224</v>
      </c>
      <c r="M18">
        <v>6.03</v>
      </c>
      <c r="N18">
        <v>14.1</v>
      </c>
      <c r="O18">
        <v>13.6</v>
      </c>
      <c r="P18">
        <v>10.8</v>
      </c>
      <c r="Q18">
        <v>0.42599999999999999</v>
      </c>
      <c r="R18" s="1">
        <f t="shared" si="0"/>
        <v>-301863.19999999995</v>
      </c>
    </row>
    <row r="19" spans="1:18" x14ac:dyDescent="0.25">
      <c r="A19" t="s">
        <v>1</v>
      </c>
      <c r="B19" t="s">
        <v>355</v>
      </c>
      <c r="E19">
        <v>6.4</v>
      </c>
      <c r="F19">
        <v>6.1</v>
      </c>
      <c r="G19">
        <v>768</v>
      </c>
      <c r="H19">
        <v>0.45400000000000001</v>
      </c>
      <c r="I19">
        <v>8.8699999999999992</v>
      </c>
      <c r="J19">
        <v>24.2</v>
      </c>
      <c r="K19">
        <v>24.9</v>
      </c>
      <c r="L19">
        <v>0.16200000000000001</v>
      </c>
      <c r="M19">
        <v>4.2300000000000004</v>
      </c>
      <c r="N19">
        <v>14.5</v>
      </c>
      <c r="O19">
        <v>12.4</v>
      </c>
      <c r="P19">
        <v>10.9</v>
      </c>
      <c r="Q19">
        <v>0.437</v>
      </c>
      <c r="R19" s="1">
        <f t="shared" si="0"/>
        <v>-216753.91999999998</v>
      </c>
    </row>
    <row r="20" spans="1:18" x14ac:dyDescent="0.25">
      <c r="A20" t="s">
        <v>1</v>
      </c>
      <c r="B20" t="s">
        <v>356</v>
      </c>
      <c r="E20">
        <v>9.5</v>
      </c>
      <c r="F20">
        <v>7.9</v>
      </c>
      <c r="G20">
        <v>1000</v>
      </c>
      <c r="H20">
        <v>0.38</v>
      </c>
      <c r="I20">
        <v>8.9499999999999993</v>
      </c>
      <c r="J20">
        <v>19.5</v>
      </c>
      <c r="K20">
        <v>21</v>
      </c>
      <c r="L20">
        <v>0.214</v>
      </c>
      <c r="M20">
        <v>5.92</v>
      </c>
      <c r="N20">
        <v>14.6</v>
      </c>
      <c r="O20">
        <v>14.7</v>
      </c>
      <c r="P20">
        <v>10.6</v>
      </c>
      <c r="Q20">
        <v>0.61199999999999999</v>
      </c>
      <c r="R20" s="1">
        <f t="shared" si="0"/>
        <v>-184640</v>
      </c>
    </row>
    <row r="21" spans="1:18" x14ac:dyDescent="0.25">
      <c r="A21" t="s">
        <v>1</v>
      </c>
      <c r="B21" t="s">
        <v>357</v>
      </c>
      <c r="E21">
        <v>6.4</v>
      </c>
      <c r="F21">
        <v>5.4</v>
      </c>
      <c r="G21">
        <v>684</v>
      </c>
      <c r="H21">
        <v>0.27300000000000002</v>
      </c>
      <c r="I21">
        <v>6.24</v>
      </c>
      <c r="J21">
        <v>19.899999999999999</v>
      </c>
      <c r="K21">
        <v>19.8</v>
      </c>
      <c r="L21">
        <v>0.155</v>
      </c>
      <c r="M21">
        <v>4.1500000000000004</v>
      </c>
      <c r="N21">
        <v>15</v>
      </c>
      <c r="O21">
        <v>13.5</v>
      </c>
      <c r="P21">
        <v>10.7</v>
      </c>
      <c r="Q21">
        <v>0.624</v>
      </c>
      <c r="R21" s="1">
        <f t="shared" si="0"/>
        <v>-135688.84000000003</v>
      </c>
    </row>
    <row r="22" spans="1:18" x14ac:dyDescent="0.25">
      <c r="A22" t="s">
        <v>86</v>
      </c>
      <c r="B22" t="s">
        <v>358</v>
      </c>
      <c r="E22">
        <v>1</v>
      </c>
      <c r="F22">
        <v>44.2</v>
      </c>
      <c r="G22">
        <v>13</v>
      </c>
      <c r="H22">
        <v>80.900000000000006</v>
      </c>
      <c r="I22">
        <v>15.1</v>
      </c>
      <c r="J22">
        <v>2.4900000000000002</v>
      </c>
      <c r="K22">
        <v>2.65</v>
      </c>
      <c r="L22">
        <v>38.799999999999997</v>
      </c>
      <c r="M22">
        <v>8.92</v>
      </c>
      <c r="N22">
        <v>1.72</v>
      </c>
      <c r="O22">
        <v>1.65</v>
      </c>
      <c r="P22">
        <v>1.28</v>
      </c>
      <c r="Q22">
        <v>0.54200000000000004</v>
      </c>
      <c r="R22" s="1">
        <f>-(0.5*(H22+L22)-P22^2*G22)</f>
        <v>-38.550799999999995</v>
      </c>
    </row>
    <row r="23" spans="1:18" x14ac:dyDescent="0.25">
      <c r="A23" t="s">
        <v>86</v>
      </c>
      <c r="B23" s="1" t="s">
        <v>359</v>
      </c>
      <c r="C23" s="1"/>
      <c r="D23" s="1"/>
      <c r="E23" s="1">
        <f>3/4</f>
        <v>0.75</v>
      </c>
      <c r="F23">
        <v>33.799999999999997</v>
      </c>
      <c r="G23">
        <v>9.94</v>
      </c>
      <c r="H23">
        <v>63.5</v>
      </c>
      <c r="I23">
        <v>11.7</v>
      </c>
      <c r="J23">
        <v>2.52</v>
      </c>
      <c r="K23">
        <v>2.5499999999999998</v>
      </c>
      <c r="L23">
        <v>30.8</v>
      </c>
      <c r="M23">
        <v>6.92</v>
      </c>
      <c r="N23">
        <v>1.75</v>
      </c>
      <c r="O23">
        <v>1.56</v>
      </c>
      <c r="P23">
        <v>1.29</v>
      </c>
      <c r="Q23">
        <v>0.55000000000000004</v>
      </c>
      <c r="R23" s="1">
        <f t="shared" ref="R23:R41" si="1">-(0.5*(H23+L23)-P23^2*G23)</f>
        <v>-30.608846</v>
      </c>
    </row>
    <row r="24" spans="1:18" x14ac:dyDescent="0.25">
      <c r="A24" t="s">
        <v>86</v>
      </c>
      <c r="B24" s="1" t="s">
        <v>360</v>
      </c>
      <c r="C24" s="1"/>
      <c r="D24" s="1"/>
      <c r="E24" s="1">
        <v>0.5</v>
      </c>
      <c r="F24">
        <v>23</v>
      </c>
      <c r="G24">
        <v>6.75</v>
      </c>
      <c r="H24">
        <v>44.4</v>
      </c>
      <c r="I24">
        <v>8.01</v>
      </c>
      <c r="J24">
        <v>2.5499999999999998</v>
      </c>
      <c r="K24">
        <v>2.46</v>
      </c>
      <c r="L24">
        <v>21.7</v>
      </c>
      <c r="M24">
        <v>4.79</v>
      </c>
      <c r="N24">
        <v>1.79</v>
      </c>
      <c r="O24">
        <v>1.46</v>
      </c>
      <c r="P24">
        <v>1.3</v>
      </c>
      <c r="Q24">
        <v>0.55700000000000005</v>
      </c>
      <c r="R24" s="1">
        <f t="shared" si="1"/>
        <v>-21.642499999999998</v>
      </c>
    </row>
    <row r="25" spans="1:18" x14ac:dyDescent="0.25">
      <c r="A25" t="s">
        <v>86</v>
      </c>
      <c r="B25" s="1" t="s">
        <v>361</v>
      </c>
      <c r="C25" s="1"/>
      <c r="D25" s="1"/>
      <c r="E25" s="1">
        <v>0.75</v>
      </c>
      <c r="F25">
        <v>23.6</v>
      </c>
      <c r="G25">
        <v>6.94</v>
      </c>
      <c r="H25">
        <v>24.5</v>
      </c>
      <c r="I25">
        <v>6.23</v>
      </c>
      <c r="J25">
        <v>1.88</v>
      </c>
      <c r="K25">
        <v>2.0699999999999998</v>
      </c>
      <c r="L25">
        <v>8.6300000000000008</v>
      </c>
      <c r="M25">
        <v>2.95</v>
      </c>
      <c r="N25">
        <v>1.1200000000000001</v>
      </c>
      <c r="O25">
        <v>1.07</v>
      </c>
      <c r="P25">
        <v>0.85599999999999998</v>
      </c>
      <c r="Q25">
        <v>0.42799999999999999</v>
      </c>
      <c r="R25" s="1">
        <f t="shared" si="1"/>
        <v>-11.479812160000002</v>
      </c>
    </row>
    <row r="26" spans="1:18" x14ac:dyDescent="0.25">
      <c r="A26" t="s">
        <v>86</v>
      </c>
      <c r="B26" s="1" t="s">
        <v>362</v>
      </c>
      <c r="C26" s="1"/>
      <c r="D26" s="1"/>
      <c r="E26" s="1">
        <v>0.5</v>
      </c>
      <c r="F26">
        <v>16.2</v>
      </c>
      <c r="G26">
        <v>4.75</v>
      </c>
      <c r="H26">
        <v>17.3</v>
      </c>
      <c r="I26">
        <v>4.3099999999999996</v>
      </c>
      <c r="J26">
        <v>1.91</v>
      </c>
      <c r="K26">
        <v>1.98</v>
      </c>
      <c r="L26">
        <v>6.22</v>
      </c>
      <c r="M26">
        <v>2.06</v>
      </c>
      <c r="N26">
        <v>1.1399999999999999</v>
      </c>
      <c r="O26">
        <v>0.98099999999999998</v>
      </c>
      <c r="P26">
        <v>0.86399999999999999</v>
      </c>
      <c r="Q26">
        <v>0.44</v>
      </c>
      <c r="R26" s="1">
        <f t="shared" si="1"/>
        <v>-8.214144000000001</v>
      </c>
    </row>
    <row r="27" spans="1:18" x14ac:dyDescent="0.25">
      <c r="A27" t="s">
        <v>86</v>
      </c>
      <c r="B27" s="1" t="s">
        <v>363</v>
      </c>
      <c r="C27" s="1"/>
      <c r="D27" s="1"/>
      <c r="E27" s="1">
        <f>3/8</f>
        <v>0.375</v>
      </c>
      <c r="F27">
        <v>12.3</v>
      </c>
      <c r="G27">
        <v>3.61</v>
      </c>
      <c r="H27">
        <v>13.4</v>
      </c>
      <c r="I27">
        <v>3.3</v>
      </c>
      <c r="J27">
        <v>1.93</v>
      </c>
      <c r="K27">
        <v>1.93</v>
      </c>
      <c r="L27">
        <v>4.8600000000000003</v>
      </c>
      <c r="M27">
        <v>1.58</v>
      </c>
      <c r="N27">
        <v>1.1599999999999999</v>
      </c>
      <c r="O27">
        <v>0.93300000000000005</v>
      </c>
      <c r="P27">
        <v>0.87</v>
      </c>
      <c r="Q27">
        <v>0.44600000000000001</v>
      </c>
      <c r="R27" s="1">
        <f t="shared" si="1"/>
        <v>-6.3975910000000002</v>
      </c>
    </row>
    <row r="28" spans="1:18" x14ac:dyDescent="0.25">
      <c r="A28" t="s">
        <v>86</v>
      </c>
      <c r="B28" s="1" t="s">
        <v>364</v>
      </c>
      <c r="C28" s="1"/>
      <c r="D28" s="1"/>
      <c r="E28" s="1">
        <v>0.5</v>
      </c>
      <c r="F28">
        <v>12.8</v>
      </c>
      <c r="G28">
        <v>3.75</v>
      </c>
      <c r="H28">
        <v>9.43</v>
      </c>
      <c r="I28">
        <v>2.89</v>
      </c>
      <c r="J28">
        <v>1.58</v>
      </c>
      <c r="K28">
        <v>1.74</v>
      </c>
      <c r="L28">
        <v>2.5499999999999998</v>
      </c>
      <c r="M28">
        <v>1.1299999999999999</v>
      </c>
      <c r="N28">
        <v>0.82399999999999995</v>
      </c>
      <c r="O28">
        <v>0.746</v>
      </c>
      <c r="P28">
        <v>0.64200000000000002</v>
      </c>
      <c r="Q28">
        <v>0.35699999999999998</v>
      </c>
      <c r="R28" s="1">
        <f t="shared" si="1"/>
        <v>-4.4443850000000005</v>
      </c>
    </row>
    <row r="29" spans="1:18" x14ac:dyDescent="0.25">
      <c r="A29" t="s">
        <v>86</v>
      </c>
      <c r="B29" s="1" t="s">
        <v>365</v>
      </c>
      <c r="C29" s="1"/>
      <c r="D29" s="1"/>
      <c r="E29" s="1">
        <f>3/8</f>
        <v>0.375</v>
      </c>
      <c r="F29">
        <v>9.8000000000000007</v>
      </c>
      <c r="G29">
        <v>2.86</v>
      </c>
      <c r="H29">
        <v>7.35</v>
      </c>
      <c r="I29">
        <v>2.2200000000000002</v>
      </c>
      <c r="J29">
        <v>1.6</v>
      </c>
      <c r="K29">
        <v>1.69</v>
      </c>
      <c r="L29">
        <v>2.0099999999999998</v>
      </c>
      <c r="M29">
        <v>0.874</v>
      </c>
      <c r="N29">
        <v>0.83799999999999997</v>
      </c>
      <c r="O29">
        <v>0.69799999999999995</v>
      </c>
      <c r="P29">
        <v>0.64600000000000002</v>
      </c>
      <c r="Q29">
        <v>0.36399999999999999</v>
      </c>
      <c r="R29" s="1">
        <f t="shared" si="1"/>
        <v>-3.48647624</v>
      </c>
    </row>
    <row r="30" spans="1:18" x14ac:dyDescent="0.25">
      <c r="A30" t="s">
        <v>86</v>
      </c>
      <c r="B30" s="1" t="s">
        <v>366</v>
      </c>
      <c r="C30" s="1"/>
      <c r="D30" s="1"/>
      <c r="E30" s="1">
        <v>0.25</v>
      </c>
      <c r="F30">
        <v>6.6</v>
      </c>
      <c r="G30">
        <v>1.94</v>
      </c>
      <c r="H30">
        <v>5.09</v>
      </c>
      <c r="I30">
        <v>1.51</v>
      </c>
      <c r="J30">
        <v>1.62</v>
      </c>
      <c r="K30">
        <v>1.64</v>
      </c>
      <c r="L30">
        <v>1.41</v>
      </c>
      <c r="M30">
        <v>0.6</v>
      </c>
      <c r="N30">
        <v>0.85299999999999998</v>
      </c>
      <c r="O30">
        <v>0.64800000000000002</v>
      </c>
      <c r="P30">
        <v>0.65200000000000002</v>
      </c>
      <c r="Q30">
        <v>0.371</v>
      </c>
      <c r="R30" s="1">
        <f t="shared" si="1"/>
        <v>-2.42529824</v>
      </c>
    </row>
    <row r="31" spans="1:18" x14ac:dyDescent="0.25">
      <c r="A31" t="s">
        <v>86</v>
      </c>
      <c r="B31" s="1" t="s">
        <v>367</v>
      </c>
      <c r="C31" s="1"/>
      <c r="D31" s="1"/>
      <c r="E31" s="1">
        <v>0.5</v>
      </c>
      <c r="F31">
        <v>11.1</v>
      </c>
      <c r="G31">
        <v>3.25</v>
      </c>
      <c r="H31">
        <v>5.0199999999999996</v>
      </c>
      <c r="I31">
        <v>1.87</v>
      </c>
      <c r="J31">
        <v>1.24</v>
      </c>
      <c r="K31">
        <v>1.32</v>
      </c>
      <c r="L31">
        <v>2.4</v>
      </c>
      <c r="M31">
        <v>1.1000000000000001</v>
      </c>
      <c r="N31">
        <v>0.85799999999999998</v>
      </c>
      <c r="O31">
        <v>0.82199999999999995</v>
      </c>
      <c r="P31">
        <v>0.63300000000000001</v>
      </c>
      <c r="Q31">
        <v>0.54200000000000004</v>
      </c>
      <c r="R31" s="1">
        <f t="shared" si="1"/>
        <v>-2.40776075</v>
      </c>
    </row>
    <row r="32" spans="1:18" x14ac:dyDescent="0.25">
      <c r="A32" t="s">
        <v>86</v>
      </c>
      <c r="B32" s="1" t="s">
        <v>368</v>
      </c>
      <c r="C32" s="1"/>
      <c r="D32" s="1"/>
      <c r="E32" s="1">
        <f>3/8</f>
        <v>0.375</v>
      </c>
      <c r="F32">
        <v>8.5</v>
      </c>
      <c r="G32">
        <v>2.48</v>
      </c>
      <c r="H32">
        <v>3.94</v>
      </c>
      <c r="I32">
        <v>1.44</v>
      </c>
      <c r="J32">
        <v>1.26</v>
      </c>
      <c r="K32">
        <v>1.27</v>
      </c>
      <c r="L32">
        <v>1.89</v>
      </c>
      <c r="M32">
        <v>0.85099999999999998</v>
      </c>
      <c r="N32">
        <v>0.873</v>
      </c>
      <c r="O32">
        <v>0.77500000000000002</v>
      </c>
      <c r="P32">
        <v>0.63600000000000001</v>
      </c>
      <c r="Q32">
        <v>0.55100000000000005</v>
      </c>
      <c r="R32" s="1">
        <f t="shared" si="1"/>
        <v>-1.9118499200000001</v>
      </c>
    </row>
    <row r="33" spans="1:18" x14ac:dyDescent="0.25">
      <c r="A33" t="s">
        <v>86</v>
      </c>
      <c r="B33" s="1" t="s">
        <v>369</v>
      </c>
      <c r="C33" s="1"/>
      <c r="D33" s="1"/>
      <c r="E33" s="1">
        <v>0.25</v>
      </c>
      <c r="F33">
        <v>5.8</v>
      </c>
      <c r="G33">
        <v>1.69</v>
      </c>
      <c r="H33">
        <v>2.75</v>
      </c>
      <c r="I33">
        <v>0.98799999999999999</v>
      </c>
      <c r="J33">
        <v>1.27</v>
      </c>
      <c r="K33">
        <v>1.22</v>
      </c>
      <c r="L33">
        <v>1.33</v>
      </c>
      <c r="M33">
        <v>0.58499999999999996</v>
      </c>
      <c r="N33">
        <v>0.88700000000000001</v>
      </c>
      <c r="O33">
        <v>0.72499999999999998</v>
      </c>
      <c r="P33">
        <v>0.63900000000000001</v>
      </c>
      <c r="Q33">
        <v>0.55800000000000005</v>
      </c>
      <c r="R33" s="1">
        <f t="shared" si="1"/>
        <v>-1.3499375100000002</v>
      </c>
    </row>
    <row r="34" spans="1:18" x14ac:dyDescent="0.25">
      <c r="A34" t="s">
        <v>86</v>
      </c>
      <c r="B34" s="1" t="s">
        <v>370</v>
      </c>
      <c r="C34" s="1"/>
      <c r="D34" s="1"/>
      <c r="E34" s="1">
        <v>0.5</v>
      </c>
      <c r="F34">
        <v>9.4</v>
      </c>
      <c r="G34">
        <v>2.75</v>
      </c>
      <c r="H34">
        <v>3.24</v>
      </c>
      <c r="I34">
        <v>1.41</v>
      </c>
      <c r="J34">
        <v>1.08</v>
      </c>
      <c r="K34">
        <v>1.2</v>
      </c>
      <c r="L34">
        <v>1.36</v>
      </c>
      <c r="M34">
        <v>0.75600000000000001</v>
      </c>
      <c r="N34">
        <v>0.70099999999999996</v>
      </c>
      <c r="O34">
        <v>0.70099999999999996</v>
      </c>
      <c r="P34">
        <v>0.53200000000000003</v>
      </c>
      <c r="Q34">
        <v>0.48499999999999999</v>
      </c>
      <c r="R34" s="1">
        <f t="shared" si="1"/>
        <v>-1.521684</v>
      </c>
    </row>
    <row r="35" spans="1:18" x14ac:dyDescent="0.25">
      <c r="A35" t="s">
        <v>86</v>
      </c>
      <c r="B35" s="1" t="s">
        <v>371</v>
      </c>
      <c r="C35" s="1"/>
      <c r="D35" s="1"/>
      <c r="E35" s="1">
        <v>0.375</v>
      </c>
      <c r="F35">
        <v>7.2</v>
      </c>
      <c r="G35">
        <v>2.11</v>
      </c>
      <c r="H35">
        <v>2.56</v>
      </c>
      <c r="I35">
        <v>1.0900000000000001</v>
      </c>
      <c r="J35">
        <v>1.1000000000000001</v>
      </c>
      <c r="K35">
        <v>1.1499999999999999</v>
      </c>
      <c r="L35">
        <v>1.0900000000000001</v>
      </c>
      <c r="M35">
        <v>0.58899999999999997</v>
      </c>
      <c r="N35">
        <v>0.71599999999999997</v>
      </c>
      <c r="O35">
        <v>0.65500000000000003</v>
      </c>
      <c r="P35">
        <v>0.53500000000000003</v>
      </c>
      <c r="Q35">
        <v>0.495</v>
      </c>
      <c r="R35" s="1">
        <f t="shared" si="1"/>
        <v>-1.2210652500000001</v>
      </c>
    </row>
    <row r="36" spans="1:18" x14ac:dyDescent="0.25">
      <c r="A36" t="s">
        <v>86</v>
      </c>
      <c r="B36" s="1" t="s">
        <v>372</v>
      </c>
      <c r="C36" s="1"/>
      <c r="D36" s="1"/>
      <c r="E36" s="1">
        <v>0.25</v>
      </c>
      <c r="F36">
        <v>4.9000000000000004</v>
      </c>
      <c r="G36">
        <v>1.44</v>
      </c>
      <c r="H36">
        <v>1.81</v>
      </c>
      <c r="I36">
        <v>0.753</v>
      </c>
      <c r="J36">
        <v>1.1200000000000001</v>
      </c>
      <c r="K36">
        <v>1.1000000000000001</v>
      </c>
      <c r="L36">
        <v>0.77500000000000002</v>
      </c>
      <c r="M36">
        <v>0.41</v>
      </c>
      <c r="N36">
        <v>0.73099999999999998</v>
      </c>
      <c r="O36">
        <v>0.60699999999999998</v>
      </c>
      <c r="P36">
        <v>0.54100000000000004</v>
      </c>
      <c r="Q36">
        <v>0.504</v>
      </c>
      <c r="R36" s="1">
        <f t="shared" si="1"/>
        <v>-0.87103935999999993</v>
      </c>
    </row>
    <row r="37" spans="1:18" x14ac:dyDescent="0.25">
      <c r="A37" t="s">
        <v>86</v>
      </c>
      <c r="B37" s="1" t="s">
        <v>373</v>
      </c>
      <c r="C37" s="1"/>
      <c r="D37" s="1"/>
      <c r="E37" s="1">
        <v>0.5</v>
      </c>
      <c r="F37">
        <v>7.7</v>
      </c>
      <c r="G37">
        <v>2.25</v>
      </c>
      <c r="H37">
        <v>1.92</v>
      </c>
      <c r="I37">
        <v>1</v>
      </c>
      <c r="J37">
        <v>0.92200000000000004</v>
      </c>
      <c r="K37">
        <v>1.08</v>
      </c>
      <c r="L37">
        <v>0.66700000000000004</v>
      </c>
      <c r="M37">
        <v>0.47</v>
      </c>
      <c r="N37">
        <v>0.54300000000000004</v>
      </c>
      <c r="O37">
        <v>0.57999999999999996</v>
      </c>
      <c r="P37">
        <v>0.42499999999999999</v>
      </c>
      <c r="Q37">
        <v>0.41299999999999998</v>
      </c>
      <c r="R37" s="1">
        <f t="shared" si="1"/>
        <v>-0.8870937499999999</v>
      </c>
    </row>
    <row r="38" spans="1:18" x14ac:dyDescent="0.25">
      <c r="A38" t="s">
        <v>86</v>
      </c>
      <c r="B38" s="1" t="s">
        <v>374</v>
      </c>
      <c r="C38" s="1"/>
      <c r="D38" s="1"/>
      <c r="E38" s="1">
        <v>0.375</v>
      </c>
      <c r="F38">
        <v>5.9</v>
      </c>
      <c r="G38">
        <v>1.73</v>
      </c>
      <c r="H38">
        <v>1.54</v>
      </c>
      <c r="I38">
        <v>0.77900000000000003</v>
      </c>
      <c r="J38">
        <v>0.93700000000000006</v>
      </c>
      <c r="K38">
        <v>1.03</v>
      </c>
      <c r="L38">
        <v>0.53900000000000003</v>
      </c>
      <c r="M38">
        <v>0.36799999999999999</v>
      </c>
      <c r="N38">
        <v>0.55500000000000005</v>
      </c>
      <c r="O38">
        <v>0.53500000000000003</v>
      </c>
      <c r="P38">
        <v>0.42599999999999999</v>
      </c>
      <c r="Q38">
        <v>0.42599999999999999</v>
      </c>
      <c r="R38" s="1">
        <f t="shared" si="1"/>
        <v>-0.72554652000000008</v>
      </c>
    </row>
    <row r="39" spans="1:18" x14ac:dyDescent="0.25">
      <c r="A39" t="s">
        <v>86</v>
      </c>
      <c r="B39" s="1" t="s">
        <v>375</v>
      </c>
      <c r="C39" s="1"/>
      <c r="D39" s="1"/>
      <c r="E39" s="1">
        <v>0.25</v>
      </c>
      <c r="F39">
        <v>4.0999999999999996</v>
      </c>
      <c r="G39">
        <v>1.19</v>
      </c>
      <c r="H39">
        <v>1.0900000000000001</v>
      </c>
      <c r="I39">
        <v>0.54100000000000004</v>
      </c>
      <c r="J39">
        <v>0.95299999999999996</v>
      </c>
      <c r="K39">
        <v>0.98</v>
      </c>
      <c r="L39">
        <v>0.39</v>
      </c>
      <c r="M39">
        <v>0.25800000000000001</v>
      </c>
      <c r="N39">
        <v>0.56899999999999995</v>
      </c>
      <c r="O39">
        <v>0.48699999999999999</v>
      </c>
      <c r="P39">
        <v>0.43099999999999999</v>
      </c>
      <c r="Q39">
        <v>0.437</v>
      </c>
      <c r="R39" s="1">
        <f t="shared" si="1"/>
        <v>-0.51894441000000002</v>
      </c>
    </row>
    <row r="40" spans="1:18" x14ac:dyDescent="0.25">
      <c r="A40" t="s">
        <v>86</v>
      </c>
      <c r="B40" s="1" t="s">
        <v>376</v>
      </c>
      <c r="C40" s="1"/>
      <c r="D40" s="1"/>
      <c r="E40" s="1">
        <v>0.375</v>
      </c>
      <c r="F40">
        <v>5.3</v>
      </c>
      <c r="G40">
        <v>1.55</v>
      </c>
      <c r="H40">
        <v>0.91400000000000003</v>
      </c>
      <c r="I40">
        <v>0.54600000000000004</v>
      </c>
      <c r="J40">
        <v>0.76600000000000001</v>
      </c>
      <c r="K40">
        <v>0.82599999999999996</v>
      </c>
      <c r="L40">
        <v>0.51300000000000001</v>
      </c>
      <c r="M40">
        <v>0.36099999999999999</v>
      </c>
      <c r="N40">
        <v>0.57399999999999995</v>
      </c>
      <c r="O40">
        <v>0.57799999999999996</v>
      </c>
      <c r="P40">
        <v>0.41899999999999998</v>
      </c>
      <c r="Q40">
        <v>0.61199999999999999</v>
      </c>
      <c r="R40" s="1">
        <f t="shared" si="1"/>
        <v>-0.44138045000000004</v>
      </c>
    </row>
    <row r="41" spans="1:18" x14ac:dyDescent="0.25">
      <c r="A41" t="s">
        <v>86</v>
      </c>
      <c r="B41" s="1" t="s">
        <v>377</v>
      </c>
      <c r="C41" s="1"/>
      <c r="D41" s="1"/>
      <c r="E41" s="1">
        <v>0.25</v>
      </c>
      <c r="F41">
        <v>3.62</v>
      </c>
      <c r="G41">
        <v>1.06</v>
      </c>
      <c r="H41">
        <v>0.65600000000000003</v>
      </c>
      <c r="I41">
        <v>0.38100000000000001</v>
      </c>
      <c r="J41">
        <v>0.78200000000000003</v>
      </c>
      <c r="K41">
        <v>0.77900000000000003</v>
      </c>
      <c r="L41">
        <v>0.372</v>
      </c>
      <c r="M41">
        <v>0.253</v>
      </c>
      <c r="N41">
        <v>0.58899999999999997</v>
      </c>
      <c r="O41">
        <v>0.53200000000000003</v>
      </c>
      <c r="P41">
        <v>0.42299999999999999</v>
      </c>
      <c r="Q41">
        <v>0.624</v>
      </c>
      <c r="R41" s="1">
        <f t="shared" si="1"/>
        <v>-0.32433526000000001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583DB-F5AE-4C7F-A94F-227744EA9CF3}">
  <sheetPr codeName="Hoja2"/>
  <dimension ref="A1:R57"/>
  <sheetViews>
    <sheetView tabSelected="1" workbookViewId="0">
      <selection activeCell="L38" sqref="L38"/>
    </sheetView>
  </sheetViews>
  <sheetFormatPr baseColWidth="10" defaultRowHeight="15" x14ac:dyDescent="0.25"/>
  <cols>
    <col min="10" max="10" width="11.85546875" bestFit="1" customWidth="1"/>
    <col min="15" max="15" width="11.85546875" bestFit="1" customWidth="1"/>
  </cols>
  <sheetData>
    <row r="1" spans="1:18" x14ac:dyDescent="0.25">
      <c r="A1" t="s">
        <v>12</v>
      </c>
      <c r="B1" t="s">
        <v>13</v>
      </c>
      <c r="C1" t="s">
        <v>14</v>
      </c>
      <c r="D1" t="s">
        <v>15</v>
      </c>
      <c r="E1" t="s">
        <v>213</v>
      </c>
      <c r="F1" t="s">
        <v>336</v>
      </c>
      <c r="H1" t="s">
        <v>12</v>
      </c>
      <c r="I1" t="s">
        <v>13</v>
      </c>
      <c r="J1" t="s">
        <v>14</v>
      </c>
      <c r="K1" t="s">
        <v>15</v>
      </c>
      <c r="L1" t="s">
        <v>213</v>
      </c>
      <c r="M1" t="s">
        <v>336</v>
      </c>
      <c r="O1" t="s">
        <v>378</v>
      </c>
      <c r="P1" t="s">
        <v>6</v>
      </c>
      <c r="R1" t="s">
        <v>411</v>
      </c>
    </row>
    <row r="2" spans="1:18" x14ac:dyDescent="0.25">
      <c r="A2">
        <v>381</v>
      </c>
      <c r="B2">
        <v>94.5</v>
      </c>
      <c r="C2">
        <v>16.5</v>
      </c>
      <c r="D2">
        <v>18.2</v>
      </c>
      <c r="E2">
        <v>20.3</v>
      </c>
      <c r="H2">
        <v>3</v>
      </c>
      <c r="I2">
        <v>1.41</v>
      </c>
      <c r="J2">
        <v>0.27300000000000002</v>
      </c>
      <c r="K2">
        <v>0.17</v>
      </c>
      <c r="L2">
        <v>0.437</v>
      </c>
      <c r="O2">
        <f>-0.5*bf</f>
        <v>-0.70499999999999996</v>
      </c>
      <c r="P2">
        <f>-d/2</f>
        <v>-1.5</v>
      </c>
    </row>
    <row r="3" spans="1:18" x14ac:dyDescent="0.25">
      <c r="A3">
        <v>381</v>
      </c>
      <c r="B3">
        <v>89.4</v>
      </c>
      <c r="C3">
        <v>16.5</v>
      </c>
      <c r="D3">
        <v>13.2</v>
      </c>
      <c r="E3">
        <v>19.8</v>
      </c>
      <c r="O3">
        <f>0.5*bf</f>
        <v>0.70499999999999996</v>
      </c>
      <c r="P3">
        <f>-d/2</f>
        <v>-1.5</v>
      </c>
    </row>
    <row r="4" spans="1:18" x14ac:dyDescent="0.25">
      <c r="A4">
        <v>381</v>
      </c>
      <c r="B4">
        <v>86.4</v>
      </c>
      <c r="C4">
        <v>16.5</v>
      </c>
      <c r="D4">
        <v>10.199999999999999</v>
      </c>
      <c r="E4">
        <v>20</v>
      </c>
      <c r="O4">
        <f>0.5*bf-0.2*tf</f>
        <v>0.65039999999999998</v>
      </c>
      <c r="P4">
        <f>-0.5*d+0.6*tf</f>
        <v>-1.3362000000000001</v>
      </c>
    </row>
    <row r="5" spans="1:18" x14ac:dyDescent="0.25">
      <c r="A5">
        <v>305</v>
      </c>
      <c r="B5">
        <v>80.5</v>
      </c>
      <c r="C5">
        <v>12.7</v>
      </c>
      <c r="D5">
        <v>13</v>
      </c>
      <c r="E5">
        <v>17.100000000000001</v>
      </c>
      <c r="O5">
        <f>0.5*bf-0.4*tf</f>
        <v>0.59579999999999989</v>
      </c>
      <c r="P5">
        <f>-0.5*d+0.8*tf</f>
        <v>-1.2816000000000001</v>
      </c>
    </row>
    <row r="6" spans="1:18" x14ac:dyDescent="0.25">
      <c r="A6">
        <v>305</v>
      </c>
      <c r="B6">
        <v>77.5</v>
      </c>
      <c r="C6">
        <v>12.7</v>
      </c>
      <c r="D6">
        <v>9.83</v>
      </c>
      <c r="E6">
        <v>17.100000000000001</v>
      </c>
      <c r="O6">
        <f>0.5*bf-0.6*tf</f>
        <v>0.5411999999999999</v>
      </c>
      <c r="P6">
        <f>-0.5*d+0.917*tf</f>
        <v>-1.2496589999999999</v>
      </c>
    </row>
    <row r="7" spans="1:18" x14ac:dyDescent="0.25">
      <c r="A7">
        <v>305</v>
      </c>
      <c r="B7">
        <v>74.7</v>
      </c>
      <c r="C7">
        <v>12.7</v>
      </c>
      <c r="D7">
        <v>7.16</v>
      </c>
      <c r="E7">
        <v>17.7</v>
      </c>
      <c r="O7">
        <f>0.5*tw+0.6*tf</f>
        <v>0.24880000000000002</v>
      </c>
      <c r="P7">
        <f>-0.5*d+(1.583)*tf</f>
        <v>-1.067841</v>
      </c>
    </row>
    <row r="8" spans="1:18" x14ac:dyDescent="0.25">
      <c r="A8">
        <v>254</v>
      </c>
      <c r="B8">
        <v>77</v>
      </c>
      <c r="C8">
        <v>11.1</v>
      </c>
      <c r="D8">
        <v>17.100000000000001</v>
      </c>
      <c r="E8">
        <v>16.5</v>
      </c>
      <c r="O8">
        <f>0.5*tw+0.4*tf</f>
        <v>0.19420000000000004</v>
      </c>
      <c r="P8">
        <f>-0.5*d+(1.7)*tf</f>
        <v>-1.0359</v>
      </c>
    </row>
    <row r="9" spans="1:18" x14ac:dyDescent="0.25">
      <c r="A9">
        <v>254</v>
      </c>
      <c r="B9">
        <v>73.400000000000006</v>
      </c>
      <c r="C9">
        <v>11.1</v>
      </c>
      <c r="D9">
        <v>13.4</v>
      </c>
      <c r="E9">
        <v>15.7</v>
      </c>
      <c r="I9" t="s">
        <v>10</v>
      </c>
      <c r="J9" t="s">
        <v>6</v>
      </c>
      <c r="O9">
        <f>0.5*tw+0.2*tf</f>
        <v>0.1396</v>
      </c>
      <c r="P9">
        <f>-0.5*d+(1.9)*tf</f>
        <v>-0.98129999999999995</v>
      </c>
    </row>
    <row r="10" spans="1:18" x14ac:dyDescent="0.25">
      <c r="A10">
        <v>254</v>
      </c>
      <c r="B10">
        <v>69.599999999999994</v>
      </c>
      <c r="C10">
        <v>11.1</v>
      </c>
      <c r="D10">
        <v>9.6300000000000008</v>
      </c>
      <c r="E10">
        <v>15.4</v>
      </c>
      <c r="H10">
        <v>1</v>
      </c>
      <c r="I10">
        <f>H10</f>
        <v>1</v>
      </c>
      <c r="J10" s="1">
        <f>SQRT($H$10^2-I10^2)</f>
        <v>0</v>
      </c>
      <c r="O10">
        <f>0.5*tw</f>
        <v>8.5000000000000006E-2</v>
      </c>
      <c r="P10">
        <f>-0.5*d+2.5*tf</f>
        <v>-0.81749999999999989</v>
      </c>
    </row>
    <row r="11" spans="1:18" x14ac:dyDescent="0.25">
      <c r="A11">
        <v>254</v>
      </c>
      <c r="B11">
        <v>66</v>
      </c>
      <c r="C11">
        <v>11.1</v>
      </c>
      <c r="D11">
        <v>6.1</v>
      </c>
      <c r="E11">
        <v>16.100000000000001</v>
      </c>
      <c r="I11">
        <f>0.8*H10</f>
        <v>0.8</v>
      </c>
      <c r="J11" s="1">
        <f t="shared" ref="J11:J15" si="0">SQRT($H$10^2-I11^2)</f>
        <v>0.59999999999999987</v>
      </c>
      <c r="O11">
        <f>0.5*tw</f>
        <v>8.5000000000000006E-2</v>
      </c>
      <c r="P11">
        <f>0.5*d-2.5*tf</f>
        <v>0.81749999999999989</v>
      </c>
    </row>
    <row r="12" spans="1:18" x14ac:dyDescent="0.25">
      <c r="A12">
        <v>229</v>
      </c>
      <c r="B12">
        <v>67.3</v>
      </c>
      <c r="C12">
        <v>10.5</v>
      </c>
      <c r="D12">
        <v>11.4</v>
      </c>
      <c r="E12">
        <v>14.8</v>
      </c>
      <c r="I12">
        <f>0.6*H10</f>
        <v>0.6</v>
      </c>
      <c r="J12" s="1">
        <f t="shared" si="0"/>
        <v>0.8</v>
      </c>
      <c r="O12">
        <f>0.5*tw+0.2*tf</f>
        <v>0.1396</v>
      </c>
      <c r="P12">
        <f>0.5*d-(1.9)*tf</f>
        <v>0.98129999999999995</v>
      </c>
    </row>
    <row r="13" spans="1:18" x14ac:dyDescent="0.25">
      <c r="A13">
        <v>229</v>
      </c>
      <c r="B13">
        <v>63.2</v>
      </c>
      <c r="C13">
        <v>10.5</v>
      </c>
      <c r="D13">
        <v>7.24</v>
      </c>
      <c r="E13">
        <v>14.9</v>
      </c>
      <c r="I13">
        <f>0.4*H10</f>
        <v>0.4</v>
      </c>
      <c r="J13" s="1">
        <f t="shared" si="0"/>
        <v>0.91651513899116799</v>
      </c>
      <c r="O13">
        <f>0.5*tw+0.4*tf</f>
        <v>0.19420000000000004</v>
      </c>
      <c r="P13">
        <f>0.5*d-(1.7)*tf</f>
        <v>1.0359</v>
      </c>
    </row>
    <row r="14" spans="1:18" x14ac:dyDescent="0.25">
      <c r="A14">
        <v>229</v>
      </c>
      <c r="B14">
        <v>61.7</v>
      </c>
      <c r="C14">
        <v>10.5</v>
      </c>
      <c r="D14">
        <v>5.92</v>
      </c>
      <c r="E14">
        <v>15.3</v>
      </c>
      <c r="I14">
        <f>0.2*H10</f>
        <v>0.2</v>
      </c>
      <c r="J14" s="1">
        <f t="shared" si="0"/>
        <v>0.9797958971132712</v>
      </c>
      <c r="O14">
        <f>0.5*tw+0.6*tf</f>
        <v>0.24880000000000002</v>
      </c>
      <c r="P14">
        <f>0.5*d-(1.583)*tf</f>
        <v>1.067841</v>
      </c>
    </row>
    <row r="15" spans="1:18" x14ac:dyDescent="0.25">
      <c r="A15">
        <v>203</v>
      </c>
      <c r="B15">
        <v>64.3</v>
      </c>
      <c r="C15">
        <v>9.91</v>
      </c>
      <c r="D15">
        <v>12.4</v>
      </c>
      <c r="E15">
        <v>14.4</v>
      </c>
      <c r="I15">
        <v>0</v>
      </c>
      <c r="J15" s="1">
        <f t="shared" si="0"/>
        <v>1</v>
      </c>
      <c r="O15">
        <f>0.5*bf-0.6*tf</f>
        <v>0.5411999999999999</v>
      </c>
      <c r="P15">
        <f>0.5*d-0.917*tf</f>
        <v>1.2496589999999999</v>
      </c>
    </row>
    <row r="16" spans="1:18" x14ac:dyDescent="0.25">
      <c r="A16">
        <v>203</v>
      </c>
      <c r="B16">
        <v>59.4</v>
      </c>
      <c r="C16">
        <v>9.91</v>
      </c>
      <c r="D16">
        <v>7.7</v>
      </c>
      <c r="E16">
        <v>14.1</v>
      </c>
      <c r="O16">
        <f>0.5*bf-0.4*tf</f>
        <v>0.59579999999999989</v>
      </c>
      <c r="P16">
        <f>0.5*d-0.8*tf</f>
        <v>1.2816000000000001</v>
      </c>
    </row>
    <row r="17" spans="1:16" x14ac:dyDescent="0.25">
      <c r="A17">
        <v>203</v>
      </c>
      <c r="B17">
        <v>57.4</v>
      </c>
      <c r="C17">
        <v>9.91</v>
      </c>
      <c r="D17">
        <v>5.59</v>
      </c>
      <c r="E17">
        <v>14.5</v>
      </c>
      <c r="O17">
        <f>0.5*bf-0.2*tf</f>
        <v>0.65039999999999998</v>
      </c>
      <c r="P17">
        <f>0.5*d-0.6*tf</f>
        <v>1.3362000000000001</v>
      </c>
    </row>
    <row r="18" spans="1:16" x14ac:dyDescent="0.25">
      <c r="A18">
        <v>178</v>
      </c>
      <c r="B18">
        <v>55.6</v>
      </c>
      <c r="C18">
        <v>9.3000000000000007</v>
      </c>
      <c r="D18">
        <v>7.98</v>
      </c>
      <c r="E18">
        <v>13.3</v>
      </c>
      <c r="I18">
        <f>0.5*bf-0.2*tf</f>
        <v>0.65039999999999998</v>
      </c>
      <c r="J18">
        <f>-0.5*d+0.6*tf</f>
        <v>-1.3362000000000001</v>
      </c>
      <c r="O18">
        <f>0.5*bf</f>
        <v>0.70499999999999996</v>
      </c>
      <c r="P18">
        <f>d/2</f>
        <v>1.5</v>
      </c>
    </row>
    <row r="19" spans="1:16" x14ac:dyDescent="0.25">
      <c r="A19">
        <v>178</v>
      </c>
      <c r="B19">
        <v>53.1</v>
      </c>
      <c r="C19">
        <v>9.3000000000000007</v>
      </c>
      <c r="D19">
        <v>5.33</v>
      </c>
      <c r="E19">
        <v>13.7</v>
      </c>
      <c r="I19">
        <f>0.5*bf-0.4*tf</f>
        <v>0.59579999999999989</v>
      </c>
      <c r="J19">
        <f>-0.5*d+0.8*tf</f>
        <v>-1.2816000000000001</v>
      </c>
      <c r="O19">
        <f>-0.5*bf</f>
        <v>-0.70499999999999996</v>
      </c>
      <c r="P19">
        <f>d/2</f>
        <v>1.5</v>
      </c>
    </row>
    <row r="20" spans="1:16" x14ac:dyDescent="0.25">
      <c r="A20">
        <v>152</v>
      </c>
      <c r="B20">
        <v>54.9</v>
      </c>
      <c r="C20">
        <v>8.7100000000000009</v>
      </c>
      <c r="D20">
        <v>11.1</v>
      </c>
      <c r="E20">
        <v>13.1</v>
      </c>
      <c r="I20">
        <f>0.5*bf-0.6*tf</f>
        <v>0.5411999999999999</v>
      </c>
      <c r="J20">
        <f>-0.5*d+0.917*tf</f>
        <v>-1.2496589999999999</v>
      </c>
      <c r="O20">
        <f>-0.5*bf+0.2*tf</f>
        <v>-0.65039999999999998</v>
      </c>
      <c r="P20">
        <f>0.5*d-0.6*tf</f>
        <v>1.3362000000000001</v>
      </c>
    </row>
    <row r="21" spans="1:16" x14ac:dyDescent="0.25">
      <c r="A21">
        <v>152</v>
      </c>
      <c r="B21">
        <v>51.6</v>
      </c>
      <c r="C21">
        <v>8.7100000000000009</v>
      </c>
      <c r="D21">
        <v>7.98</v>
      </c>
      <c r="E21">
        <v>12.7</v>
      </c>
      <c r="O21">
        <f>-0.5*bf+0.4*tf</f>
        <v>-0.59579999999999989</v>
      </c>
      <c r="P21">
        <f>0.5*d-0.8*tf</f>
        <v>1.2816000000000001</v>
      </c>
    </row>
    <row r="22" spans="1:16" x14ac:dyDescent="0.25">
      <c r="A22">
        <v>152</v>
      </c>
      <c r="B22">
        <v>48.8</v>
      </c>
      <c r="C22">
        <v>8.7100000000000009</v>
      </c>
      <c r="D22">
        <v>5.08</v>
      </c>
      <c r="E22">
        <v>13</v>
      </c>
      <c r="O22">
        <f>-0.5*bf+0.6*tf</f>
        <v>-0.5411999999999999</v>
      </c>
      <c r="P22">
        <f>0.5*d-0.917*tf</f>
        <v>1.2496589999999999</v>
      </c>
    </row>
    <row r="23" spans="1:16" x14ac:dyDescent="0.25">
      <c r="A23">
        <v>127</v>
      </c>
      <c r="B23">
        <v>48</v>
      </c>
      <c r="C23">
        <v>8.1300000000000008</v>
      </c>
      <c r="D23">
        <v>8.26</v>
      </c>
      <c r="E23">
        <v>12.1</v>
      </c>
      <c r="I23">
        <f>0.5*tw+0.6*tf</f>
        <v>0.24880000000000002</v>
      </c>
      <c r="J23">
        <f>-0.5*d+(1.583)*tf</f>
        <v>-1.067841</v>
      </c>
      <c r="O23">
        <f>-0.5*tw-0.6*tf</f>
        <v>-0.24880000000000002</v>
      </c>
      <c r="P23">
        <f>0.5*d-(1.583)*tf</f>
        <v>1.067841</v>
      </c>
    </row>
    <row r="24" spans="1:16" x14ac:dyDescent="0.25">
      <c r="A24">
        <v>127</v>
      </c>
      <c r="B24">
        <v>44.5</v>
      </c>
      <c r="C24">
        <v>8.1300000000000008</v>
      </c>
      <c r="D24">
        <v>4.83</v>
      </c>
      <c r="E24">
        <v>12.3</v>
      </c>
      <c r="I24">
        <f>0.5*tw+0.4*tf</f>
        <v>0.19420000000000004</v>
      </c>
      <c r="J24">
        <f>-0.5*d+(1.7)*tf</f>
        <v>-1.0359</v>
      </c>
      <c r="O24">
        <f>-0.5*tw-0.4*tf</f>
        <v>-0.19420000000000004</v>
      </c>
      <c r="P24">
        <f>0.5*d-(1.7)*tf</f>
        <v>1.0359</v>
      </c>
    </row>
    <row r="25" spans="1:16" x14ac:dyDescent="0.25">
      <c r="A25">
        <v>102</v>
      </c>
      <c r="B25">
        <v>43.7</v>
      </c>
      <c r="C25">
        <v>7.52</v>
      </c>
      <c r="D25">
        <v>8.15</v>
      </c>
      <c r="E25">
        <v>11.7</v>
      </c>
      <c r="I25">
        <f>0.5*tw+0.2*tf</f>
        <v>0.1396</v>
      </c>
      <c r="J25">
        <f>-0.5*d+(1.9)*tf</f>
        <v>-0.98129999999999995</v>
      </c>
      <c r="O25">
        <f>-0.5*tw-0.2*tf</f>
        <v>-0.1396</v>
      </c>
      <c r="P25">
        <f>0.5*d-(1.9)*tf</f>
        <v>0.98129999999999995</v>
      </c>
    </row>
    <row r="26" spans="1:16" x14ac:dyDescent="0.25">
      <c r="A26">
        <v>102</v>
      </c>
      <c r="B26">
        <v>40.1</v>
      </c>
      <c r="C26">
        <v>7.52</v>
      </c>
      <c r="D26">
        <v>4.67</v>
      </c>
      <c r="E26">
        <v>11.6</v>
      </c>
      <c r="O26">
        <f>-0.5*tw</f>
        <v>-8.5000000000000006E-2</v>
      </c>
      <c r="P26">
        <f>0.5*d-2.5*tf</f>
        <v>0.81749999999999989</v>
      </c>
    </row>
    <row r="27" spans="1:16" x14ac:dyDescent="0.25">
      <c r="A27">
        <v>76.2</v>
      </c>
      <c r="B27">
        <v>40.6</v>
      </c>
      <c r="C27">
        <v>6.93</v>
      </c>
      <c r="D27">
        <v>9.0399999999999991</v>
      </c>
      <c r="E27">
        <v>11.6</v>
      </c>
      <c r="O27">
        <f>-0.5*tw</f>
        <v>-8.5000000000000006E-2</v>
      </c>
      <c r="P27">
        <f>-0.5*d+2.5*tf</f>
        <v>-0.81749999999999989</v>
      </c>
    </row>
    <row r="28" spans="1:16" x14ac:dyDescent="0.25">
      <c r="A28">
        <v>76.2</v>
      </c>
      <c r="B28">
        <v>38.1</v>
      </c>
      <c r="C28">
        <v>6.93</v>
      </c>
      <c r="D28">
        <v>6.55</v>
      </c>
      <c r="E28">
        <v>11.2</v>
      </c>
      <c r="O28">
        <f>-0.5*tw-0.2*tf</f>
        <v>-0.1396</v>
      </c>
      <c r="P28">
        <f>-0.5*d+(1.9)*tf</f>
        <v>-0.98129999999999995</v>
      </c>
    </row>
    <row r="29" spans="1:16" x14ac:dyDescent="0.25">
      <c r="A29">
        <v>76.2</v>
      </c>
      <c r="B29">
        <v>35.799999999999997</v>
      </c>
      <c r="C29">
        <v>6.93</v>
      </c>
      <c r="D29">
        <v>4.32</v>
      </c>
      <c r="E29">
        <v>11.1</v>
      </c>
      <c r="O29">
        <f>-0.5*tw-0.4*tf</f>
        <v>-0.19420000000000004</v>
      </c>
      <c r="P29">
        <f>-0.5*d+(1.7)*tf</f>
        <v>-1.0359</v>
      </c>
    </row>
    <row r="30" spans="1:16" x14ac:dyDescent="0.25">
      <c r="A30">
        <v>15</v>
      </c>
      <c r="B30">
        <v>3.72</v>
      </c>
      <c r="C30">
        <v>0.65</v>
      </c>
      <c r="D30">
        <v>0.71599999999999997</v>
      </c>
      <c r="E30">
        <v>0.79900000000000004</v>
      </c>
      <c r="O30">
        <f>-0.5*tw-0.6*tf</f>
        <v>-0.24880000000000002</v>
      </c>
      <c r="P30">
        <f>-0.5*d+(1.583)*tf</f>
        <v>-1.067841</v>
      </c>
    </row>
    <row r="31" spans="1:16" x14ac:dyDescent="0.25">
      <c r="A31">
        <v>15</v>
      </c>
      <c r="B31">
        <v>3.52</v>
      </c>
      <c r="C31">
        <v>0.65</v>
      </c>
      <c r="D31">
        <v>0.52</v>
      </c>
      <c r="E31">
        <v>0.77800000000000002</v>
      </c>
      <c r="O31">
        <f>-0.5*bf+0.6*tf</f>
        <v>-0.5411999999999999</v>
      </c>
      <c r="P31">
        <f>-0.5*d+0.917*tf</f>
        <v>-1.2496589999999999</v>
      </c>
    </row>
    <row r="32" spans="1:16" x14ac:dyDescent="0.25">
      <c r="A32">
        <v>15</v>
      </c>
      <c r="B32">
        <v>3.4</v>
      </c>
      <c r="C32">
        <v>0.65</v>
      </c>
      <c r="D32">
        <v>0.4</v>
      </c>
      <c r="E32">
        <v>0.78800000000000003</v>
      </c>
      <c r="O32">
        <f>-0.5*bf+0.4*tf</f>
        <v>-0.59579999999999989</v>
      </c>
      <c r="P32">
        <f>-0.5*d+0.8*tf</f>
        <v>-1.2816000000000001</v>
      </c>
    </row>
    <row r="33" spans="1:18" x14ac:dyDescent="0.25">
      <c r="A33">
        <v>12</v>
      </c>
      <c r="B33">
        <v>3.17</v>
      </c>
      <c r="C33">
        <v>0.501</v>
      </c>
      <c r="D33">
        <v>0.51</v>
      </c>
      <c r="E33">
        <v>0.67400000000000004</v>
      </c>
      <c r="O33">
        <f>-0.5*bf+0.2*tf</f>
        <v>-0.65039999999999998</v>
      </c>
      <c r="P33">
        <f>-0.5*d+0.6*tf</f>
        <v>-1.3362000000000001</v>
      </c>
    </row>
    <row r="34" spans="1:18" x14ac:dyDescent="0.25">
      <c r="A34">
        <v>12</v>
      </c>
      <c r="B34">
        <v>3.05</v>
      </c>
      <c r="C34">
        <v>0.501</v>
      </c>
      <c r="D34">
        <v>0.38700000000000001</v>
      </c>
      <c r="E34">
        <v>0.67400000000000004</v>
      </c>
      <c r="O34">
        <f>-0.5*bf</f>
        <v>-0.70499999999999996</v>
      </c>
      <c r="P34">
        <f>-d/2</f>
        <v>-1.5</v>
      </c>
    </row>
    <row r="35" spans="1:18" x14ac:dyDescent="0.25">
      <c r="A35">
        <v>12</v>
      </c>
      <c r="B35">
        <v>2.94</v>
      </c>
      <c r="C35">
        <v>0.501</v>
      </c>
      <c r="D35">
        <v>0.28199999999999997</v>
      </c>
      <c r="E35">
        <v>0.69799999999999995</v>
      </c>
    </row>
    <row r="36" spans="1:18" x14ac:dyDescent="0.25">
      <c r="A36">
        <v>10</v>
      </c>
      <c r="B36">
        <v>3.03</v>
      </c>
      <c r="C36">
        <v>0.436</v>
      </c>
      <c r="D36">
        <v>0.67300000000000004</v>
      </c>
      <c r="E36">
        <v>0.64900000000000002</v>
      </c>
    </row>
    <row r="37" spans="1:18" x14ac:dyDescent="0.25">
      <c r="A37">
        <v>10</v>
      </c>
      <c r="B37">
        <v>2.89</v>
      </c>
      <c r="C37">
        <v>0.436</v>
      </c>
      <c r="D37">
        <v>0.52600000000000002</v>
      </c>
      <c r="E37">
        <v>0.61699999999999999</v>
      </c>
      <c r="O37" t="s">
        <v>378</v>
      </c>
      <c r="P37" t="s">
        <v>6</v>
      </c>
      <c r="R37" t="s">
        <v>412</v>
      </c>
    </row>
    <row r="38" spans="1:18" x14ac:dyDescent="0.25">
      <c r="A38">
        <v>10</v>
      </c>
      <c r="B38">
        <v>2.74</v>
      </c>
      <c r="C38">
        <v>0.436</v>
      </c>
      <c r="D38">
        <v>0.379</v>
      </c>
      <c r="E38">
        <v>0.60599999999999998</v>
      </c>
      <c r="O38">
        <f>-figXc</f>
        <v>-0.437</v>
      </c>
      <c r="P38">
        <f>-0.5*d</f>
        <v>-1.5</v>
      </c>
    </row>
    <row r="39" spans="1:18" x14ac:dyDescent="0.25">
      <c r="A39">
        <v>10</v>
      </c>
      <c r="B39">
        <v>2.6</v>
      </c>
      <c r="C39">
        <v>0.436</v>
      </c>
      <c r="D39">
        <v>0.24</v>
      </c>
      <c r="E39">
        <v>0.63400000000000001</v>
      </c>
      <c r="O39">
        <f>-figXc+bf</f>
        <v>0.97299999999999986</v>
      </c>
      <c r="P39">
        <f>-0.5*d</f>
        <v>-1.5</v>
      </c>
    </row>
    <row r="40" spans="1:18" x14ac:dyDescent="0.25">
      <c r="A40">
        <v>9</v>
      </c>
      <c r="B40">
        <v>2.65</v>
      </c>
      <c r="C40">
        <v>0.41299999999999998</v>
      </c>
      <c r="D40">
        <v>0.44800000000000001</v>
      </c>
      <c r="E40">
        <v>0.58299999999999996</v>
      </c>
      <c r="O40">
        <f>-figXc+bf-0.2*tf</f>
        <v>0.91839999999999988</v>
      </c>
      <c r="P40">
        <f>-0.5*d+0.6*tf</f>
        <v>-1.3362000000000001</v>
      </c>
    </row>
    <row r="41" spans="1:18" x14ac:dyDescent="0.25">
      <c r="A41">
        <v>9</v>
      </c>
      <c r="B41">
        <v>2.4900000000000002</v>
      </c>
      <c r="C41">
        <v>0.41299999999999998</v>
      </c>
      <c r="D41">
        <v>0.28499999999999998</v>
      </c>
      <c r="E41">
        <v>0.58599999999999997</v>
      </c>
      <c r="O41">
        <f>-figXc+bf-0.4*tf</f>
        <v>0.8637999999999999</v>
      </c>
      <c r="P41">
        <f>-0.5*d+0.8*tf</f>
        <v>-1.2816000000000001</v>
      </c>
    </row>
    <row r="42" spans="1:18" x14ac:dyDescent="0.25">
      <c r="A42">
        <v>9</v>
      </c>
      <c r="B42">
        <v>2.4300000000000002</v>
      </c>
      <c r="C42">
        <v>0.41299999999999998</v>
      </c>
      <c r="D42">
        <v>0.23300000000000001</v>
      </c>
      <c r="E42">
        <v>0.60099999999999998</v>
      </c>
      <c r="O42">
        <f>-figXc+bf-0.6*tf</f>
        <v>0.80919999999999992</v>
      </c>
      <c r="P42">
        <f>-0.5*d+0.917*tf</f>
        <v>-1.2496589999999999</v>
      </c>
    </row>
    <row r="43" spans="1:18" x14ac:dyDescent="0.25">
      <c r="A43">
        <v>8</v>
      </c>
      <c r="B43">
        <v>2.5299999999999998</v>
      </c>
      <c r="C43">
        <v>0.39</v>
      </c>
      <c r="D43">
        <v>0.48699999999999999</v>
      </c>
      <c r="E43">
        <v>0.56499999999999995</v>
      </c>
      <c r="O43">
        <f>-figXc+tw+0.6*tf</f>
        <v>-0.10320000000000001</v>
      </c>
      <c r="P43">
        <f>-0.5*d+(1.583)*tf</f>
        <v>-1.067841</v>
      </c>
    </row>
    <row r="44" spans="1:18" x14ac:dyDescent="0.25">
      <c r="A44">
        <v>8</v>
      </c>
      <c r="B44">
        <v>2.34</v>
      </c>
      <c r="C44">
        <v>0.39</v>
      </c>
      <c r="D44">
        <v>0.30299999999999999</v>
      </c>
      <c r="E44">
        <v>0.55400000000000005</v>
      </c>
      <c r="O44">
        <f>-figXc+tw+0.4*tf</f>
        <v>-0.1578</v>
      </c>
      <c r="P44">
        <f>-0.5*d+(1.7)*tf</f>
        <v>-1.0359</v>
      </c>
    </row>
    <row r="45" spans="1:18" x14ac:dyDescent="0.25">
      <c r="A45">
        <v>8</v>
      </c>
      <c r="B45">
        <v>2.2599999999999998</v>
      </c>
      <c r="C45">
        <v>0.39</v>
      </c>
      <c r="D45">
        <v>0.22</v>
      </c>
      <c r="E45">
        <v>0.57199999999999995</v>
      </c>
      <c r="O45">
        <f>-figXc+tw+0.2*tf</f>
        <v>-0.21240000000000001</v>
      </c>
      <c r="P45">
        <f>-0.5*d+(1.9)*tf</f>
        <v>-0.98129999999999995</v>
      </c>
    </row>
    <row r="46" spans="1:18" x14ac:dyDescent="0.25">
      <c r="A46">
        <v>7</v>
      </c>
      <c r="B46">
        <v>2.19</v>
      </c>
      <c r="C46">
        <v>0.36599999999999999</v>
      </c>
      <c r="D46">
        <v>0.314</v>
      </c>
      <c r="E46">
        <v>0.52500000000000002</v>
      </c>
      <c r="O46">
        <f>-figXc+tw</f>
        <v>-0.26700000000000002</v>
      </c>
      <c r="P46">
        <f>-0.5*d+2.5*tf</f>
        <v>-0.81749999999999989</v>
      </c>
    </row>
    <row r="47" spans="1:18" x14ac:dyDescent="0.25">
      <c r="A47">
        <v>7</v>
      </c>
      <c r="B47">
        <v>2.09</v>
      </c>
      <c r="C47">
        <v>0.36599999999999999</v>
      </c>
      <c r="D47">
        <v>0.21</v>
      </c>
      <c r="E47">
        <v>0.54100000000000004</v>
      </c>
      <c r="O47">
        <f>-figXc+tw</f>
        <v>-0.26700000000000002</v>
      </c>
      <c r="P47">
        <f>0.5*d-2.5*tf</f>
        <v>0.81749999999999989</v>
      </c>
    </row>
    <row r="48" spans="1:18" x14ac:dyDescent="0.25">
      <c r="A48">
        <v>6</v>
      </c>
      <c r="B48">
        <v>2.16</v>
      </c>
      <c r="C48">
        <v>0.34300000000000003</v>
      </c>
      <c r="D48">
        <v>0.437</v>
      </c>
      <c r="E48">
        <v>0.51400000000000001</v>
      </c>
      <c r="O48">
        <f>-figXc+tw+0.2*tf</f>
        <v>-0.21240000000000001</v>
      </c>
      <c r="P48">
        <f>0.5*d-(1.9)*tf</f>
        <v>0.98129999999999995</v>
      </c>
    </row>
    <row r="49" spans="1:16" x14ac:dyDescent="0.25">
      <c r="A49">
        <v>6</v>
      </c>
      <c r="B49">
        <v>2.0299999999999998</v>
      </c>
      <c r="C49">
        <v>0.34300000000000003</v>
      </c>
      <c r="D49">
        <v>0.314</v>
      </c>
      <c r="E49">
        <v>0.5</v>
      </c>
      <c r="O49">
        <f>-figXc+tw+0.4*tf</f>
        <v>-0.1578</v>
      </c>
      <c r="P49">
        <f>0.5*d-(1.7)*tf</f>
        <v>1.0359</v>
      </c>
    </row>
    <row r="50" spans="1:16" x14ac:dyDescent="0.25">
      <c r="A50">
        <v>6</v>
      </c>
      <c r="B50">
        <v>1.92</v>
      </c>
      <c r="C50">
        <v>0.34300000000000003</v>
      </c>
      <c r="D50">
        <v>0.2</v>
      </c>
      <c r="E50">
        <v>0.51200000000000001</v>
      </c>
      <c r="O50">
        <f>-figXc+tw+0.6*tf</f>
        <v>-0.10320000000000001</v>
      </c>
      <c r="P50">
        <f>0.5*d-(1.583)*tf</f>
        <v>1.067841</v>
      </c>
    </row>
    <row r="51" spans="1:16" x14ac:dyDescent="0.25">
      <c r="A51">
        <v>5</v>
      </c>
      <c r="B51">
        <v>1.89</v>
      </c>
      <c r="C51">
        <v>0.32</v>
      </c>
      <c r="D51">
        <v>0.32500000000000001</v>
      </c>
      <c r="E51">
        <v>0.47799999999999998</v>
      </c>
      <c r="O51">
        <f>-figXc+bf-0.6*tf</f>
        <v>0.80919999999999992</v>
      </c>
      <c r="P51">
        <f>0.5*d-0.917*tf</f>
        <v>1.2496589999999999</v>
      </c>
    </row>
    <row r="52" spans="1:16" x14ac:dyDescent="0.25">
      <c r="A52">
        <v>5</v>
      </c>
      <c r="B52">
        <v>1.75</v>
      </c>
      <c r="C52">
        <v>0.32</v>
      </c>
      <c r="D52">
        <v>0.19</v>
      </c>
      <c r="E52">
        <v>0.48399999999999999</v>
      </c>
      <c r="O52">
        <f>-figXc+bf-0.4*tf</f>
        <v>0.8637999999999999</v>
      </c>
      <c r="P52">
        <f>0.5*d-0.8*tf</f>
        <v>1.2816000000000001</v>
      </c>
    </row>
    <row r="53" spans="1:16" x14ac:dyDescent="0.25">
      <c r="A53">
        <v>4</v>
      </c>
      <c r="B53">
        <v>1.72</v>
      </c>
      <c r="C53">
        <v>0.29599999999999999</v>
      </c>
      <c r="D53">
        <v>0.32100000000000001</v>
      </c>
      <c r="E53">
        <v>0.45900000000000002</v>
      </c>
      <c r="O53">
        <f>-figXc+bf-0.2*tf</f>
        <v>0.91839999999999988</v>
      </c>
      <c r="P53">
        <f>0.5*d-0.6*tf</f>
        <v>1.3362000000000001</v>
      </c>
    </row>
    <row r="54" spans="1:16" x14ac:dyDescent="0.25">
      <c r="A54">
        <v>4</v>
      </c>
      <c r="B54">
        <v>1.58</v>
      </c>
      <c r="C54">
        <v>0.29599999999999999</v>
      </c>
      <c r="D54">
        <v>0.184</v>
      </c>
      <c r="E54">
        <v>0.45700000000000002</v>
      </c>
      <c r="O54">
        <f>-figXc+bf</f>
        <v>0.97299999999999986</v>
      </c>
      <c r="P54">
        <f>0.5*d</f>
        <v>1.5</v>
      </c>
    </row>
    <row r="55" spans="1:16" x14ac:dyDescent="0.25">
      <c r="A55">
        <v>3</v>
      </c>
      <c r="B55">
        <v>1.6</v>
      </c>
      <c r="C55">
        <v>0.27300000000000002</v>
      </c>
      <c r="D55">
        <v>0.35599999999999998</v>
      </c>
      <c r="E55">
        <v>0.45500000000000002</v>
      </c>
      <c r="O55">
        <f>-figXc</f>
        <v>-0.437</v>
      </c>
      <c r="P55">
        <f>0.5*d</f>
        <v>1.5</v>
      </c>
    </row>
    <row r="56" spans="1:16" x14ac:dyDescent="0.25">
      <c r="A56">
        <v>3</v>
      </c>
      <c r="B56">
        <v>1.5</v>
      </c>
      <c r="C56">
        <v>0.27300000000000002</v>
      </c>
      <c r="D56">
        <v>0.25800000000000001</v>
      </c>
      <c r="E56">
        <v>0.439</v>
      </c>
      <c r="O56">
        <f>-figXc</f>
        <v>-0.437</v>
      </c>
      <c r="P56">
        <f>-0.5*d</f>
        <v>-1.5</v>
      </c>
    </row>
    <row r="57" spans="1:16" x14ac:dyDescent="0.25">
      <c r="A57">
        <v>3</v>
      </c>
      <c r="B57">
        <v>1.41</v>
      </c>
      <c r="C57">
        <v>0.27300000000000002</v>
      </c>
      <c r="D57">
        <v>0.17</v>
      </c>
      <c r="E57">
        <v>0.437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1213F-2C4C-45E4-8BF3-835C12F22E0E}">
  <sheetPr codeName="Hoja7"/>
  <dimension ref="A1:D57"/>
  <sheetViews>
    <sheetView topLeftCell="A22" workbookViewId="0">
      <selection activeCell="A2" sqref="A2"/>
    </sheetView>
  </sheetViews>
  <sheetFormatPr baseColWidth="10" defaultRowHeight="15" x14ac:dyDescent="0.25"/>
  <cols>
    <col min="2" max="2" width="23.5703125" customWidth="1"/>
  </cols>
  <sheetData>
    <row r="1" spans="1:4" x14ac:dyDescent="0.25">
      <c r="A1" t="s">
        <v>378</v>
      </c>
      <c r="B1" t="s">
        <v>6</v>
      </c>
    </row>
    <row r="2" spans="1:4" x14ac:dyDescent="0.25">
      <c r="A2" s="2" t="s">
        <v>379</v>
      </c>
      <c r="B2" s="2" t="s">
        <v>380</v>
      </c>
      <c r="D2" t="str" cm="1">
        <f t="array" ref="D2">genPuntos(A2)</f>
        <v>[
[-0.5*bf,-d/2],[0.5*bf,-d/2],[0.5*bf-0.2*tf,-0.5*d+0.6*tf],[0.5*bf-0.4*tf,-0.5*d+0.8*tf],[0.5*bf-0.6*tf,-0.5*d+0.917*tf],[0.5*tw+0.6*tf,-0.5*d+(1.583)*tf],[0.5*tw+0.4*tf,-0.5*d+(1.7)*tf],[0.5*tw+0.2*tf,-0.5*d+(1.9)*tf],[0.5*tw,-0.5*d+2.5*tf],[0.5*tw,0.5*d-2.5*tf],[0.5*tw+0.2*tf,0.5*d-(1.9)*tf],[0.5*tw+0.4*tf,0.5*d-(1.7)*tf],[0.5*tw+0.6*tf,0.5*d-(1.583)*tf],[0.5*bf-0.6*tf,0.5*d-0.917*tf],[0.5*bf-0.4*tf,0.5*d-0.8*tf],[0.5*bf-0.2*tf,0.5*d-0.6*tf],[0.5*bf,d/2],[-0.5*bf,d/2],[-0.5*bf+0.2*tf,0.5*d-0.6*tf],[-0.5*bf+0.4*tf,0.5*d-0.8*tf],[-0.5*bf+0.6*tf,0.5*d-0.917*tf],[-0.5*tw-0.6*tf,0.5*d-(1.583)*tf],[-0.5*tw-0.4*tf,0.5*d-(1.7)*tf],[-0.5*tw-0.2*tf,0.5*d-(1.9)*tf],[-0.5*tw,0.5*d-2.5*tf],[-0.5*tw,-0.5*d+2.5*tf],[-0.5*tw-0.2*tf,-0.5*d+(1.9)*tf],[-0.5*tw-0.4*tf,-0.5*d+(1.7)*tf],[-0.5*tw-0.6*tf,-0.5*d+(1.583)*tf],[-0.5*bf+0.6*tf,-0.5*d+0.917*tf],[-0.5*bf+0.4*tf,-0.5*d+0.8*tf],[-0.5*bf+0.2*tf,-0.5*d+0.6*tf],[-0.5*bf,-d/2]
];</v>
      </c>
    </row>
    <row r="3" spans="1:4" x14ac:dyDescent="0.25">
      <c r="A3" s="2" t="s">
        <v>381</v>
      </c>
      <c r="B3" s="2" t="s">
        <v>380</v>
      </c>
    </row>
    <row r="4" spans="1:4" x14ac:dyDescent="0.25">
      <c r="A4" s="2" t="s">
        <v>382</v>
      </c>
      <c r="B4" s="2" t="s">
        <v>383</v>
      </c>
    </row>
    <row r="5" spans="1:4" x14ac:dyDescent="0.25">
      <c r="A5" s="2" t="s">
        <v>384</v>
      </c>
      <c r="B5" s="2" t="s">
        <v>385</v>
      </c>
    </row>
    <row r="6" spans="1:4" x14ac:dyDescent="0.25">
      <c r="A6" s="2" t="s">
        <v>386</v>
      </c>
      <c r="B6" s="2" t="s">
        <v>387</v>
      </c>
    </row>
    <row r="7" spans="1:4" x14ac:dyDescent="0.25">
      <c r="A7" s="2" t="s">
        <v>388</v>
      </c>
      <c r="B7" s="2" t="s">
        <v>389</v>
      </c>
    </row>
    <row r="8" spans="1:4" x14ac:dyDescent="0.25">
      <c r="A8" s="2" t="s">
        <v>390</v>
      </c>
      <c r="B8" s="2" t="s">
        <v>391</v>
      </c>
    </row>
    <row r="9" spans="1:4" x14ac:dyDescent="0.25">
      <c r="A9" s="2" t="s">
        <v>392</v>
      </c>
      <c r="B9" s="2" t="s">
        <v>393</v>
      </c>
    </row>
    <row r="10" spans="1:4" x14ac:dyDescent="0.25">
      <c r="A10" s="2" t="s">
        <v>394</v>
      </c>
      <c r="B10" s="2" t="s">
        <v>395</v>
      </c>
    </row>
    <row r="11" spans="1:4" x14ac:dyDescent="0.25">
      <c r="A11" s="2" t="s">
        <v>394</v>
      </c>
      <c r="B11" s="2" t="s">
        <v>396</v>
      </c>
    </row>
    <row r="12" spans="1:4" x14ac:dyDescent="0.25">
      <c r="A12" s="2" t="s">
        <v>392</v>
      </c>
      <c r="B12" s="2" t="s">
        <v>397</v>
      </c>
    </row>
    <row r="13" spans="1:4" x14ac:dyDescent="0.25">
      <c r="A13" s="2" t="s">
        <v>390</v>
      </c>
      <c r="B13" s="2" t="s">
        <v>398</v>
      </c>
    </row>
    <row r="14" spans="1:4" x14ac:dyDescent="0.25">
      <c r="A14" s="2" t="s">
        <v>388</v>
      </c>
      <c r="B14" s="2" t="s">
        <v>399</v>
      </c>
    </row>
    <row r="15" spans="1:4" x14ac:dyDescent="0.25">
      <c r="A15" s="2" t="s">
        <v>386</v>
      </c>
      <c r="B15" s="2" t="s">
        <v>400</v>
      </c>
    </row>
    <row r="16" spans="1:4" x14ac:dyDescent="0.25">
      <c r="A16" s="2" t="s">
        <v>384</v>
      </c>
      <c r="B16" s="2" t="s">
        <v>401</v>
      </c>
    </row>
    <row r="17" spans="1:2" x14ac:dyDescent="0.25">
      <c r="A17" s="2" t="s">
        <v>382</v>
      </c>
      <c r="B17" s="2" t="s">
        <v>402</v>
      </c>
    </row>
    <row r="18" spans="1:2" x14ac:dyDescent="0.25">
      <c r="A18" s="2" t="s">
        <v>381</v>
      </c>
      <c r="B18" s="2" t="s">
        <v>403</v>
      </c>
    </row>
    <row r="19" spans="1:2" x14ac:dyDescent="0.25">
      <c r="A19" s="2" t="s">
        <v>379</v>
      </c>
      <c r="B19" s="2" t="s">
        <v>403</v>
      </c>
    </row>
    <row r="20" spans="1:2" x14ac:dyDescent="0.25">
      <c r="A20" s="2" t="s">
        <v>404</v>
      </c>
      <c r="B20" s="2" t="s">
        <v>402</v>
      </c>
    </row>
    <row r="21" spans="1:2" x14ac:dyDescent="0.25">
      <c r="A21" s="2" t="s">
        <v>405</v>
      </c>
      <c r="B21" s="2" t="s">
        <v>401</v>
      </c>
    </row>
    <row r="22" spans="1:2" x14ac:dyDescent="0.25">
      <c r="A22" s="2" t="s">
        <v>406</v>
      </c>
      <c r="B22" s="2" t="s">
        <v>400</v>
      </c>
    </row>
    <row r="23" spans="1:2" x14ac:dyDescent="0.25">
      <c r="A23" s="2" t="s">
        <v>407</v>
      </c>
      <c r="B23" s="2" t="s">
        <v>399</v>
      </c>
    </row>
    <row r="24" spans="1:2" x14ac:dyDescent="0.25">
      <c r="A24" s="2" t="s">
        <v>408</v>
      </c>
      <c r="B24" s="2" t="s">
        <v>398</v>
      </c>
    </row>
    <row r="25" spans="1:2" x14ac:dyDescent="0.25">
      <c r="A25" s="2" t="s">
        <v>409</v>
      </c>
      <c r="B25" s="2" t="s">
        <v>397</v>
      </c>
    </row>
    <row r="26" spans="1:2" x14ac:dyDescent="0.25">
      <c r="A26" s="2" t="s">
        <v>410</v>
      </c>
      <c r="B26" s="2" t="s">
        <v>396</v>
      </c>
    </row>
    <row r="27" spans="1:2" x14ac:dyDescent="0.25">
      <c r="A27" s="2" t="s">
        <v>410</v>
      </c>
      <c r="B27" s="2" t="s">
        <v>395</v>
      </c>
    </row>
    <row r="28" spans="1:2" x14ac:dyDescent="0.25">
      <c r="A28" s="2" t="s">
        <v>409</v>
      </c>
      <c r="B28" s="2" t="s">
        <v>393</v>
      </c>
    </row>
    <row r="29" spans="1:2" x14ac:dyDescent="0.25">
      <c r="A29" s="2" t="s">
        <v>408</v>
      </c>
      <c r="B29" s="2" t="s">
        <v>391</v>
      </c>
    </row>
    <row r="30" spans="1:2" x14ac:dyDescent="0.25">
      <c r="A30" s="2" t="s">
        <v>407</v>
      </c>
      <c r="B30" s="2" t="s">
        <v>389</v>
      </c>
    </row>
    <row r="31" spans="1:2" x14ac:dyDescent="0.25">
      <c r="A31" s="2" t="s">
        <v>406</v>
      </c>
      <c r="B31" s="2" t="s">
        <v>387</v>
      </c>
    </row>
    <row r="32" spans="1:2" x14ac:dyDescent="0.25">
      <c r="A32" s="2" t="s">
        <v>405</v>
      </c>
      <c r="B32" s="2" t="s">
        <v>385</v>
      </c>
    </row>
    <row r="33" spans="1:4" x14ac:dyDescent="0.25">
      <c r="A33" s="2" t="s">
        <v>404</v>
      </c>
      <c r="B33" s="2" t="s">
        <v>383</v>
      </c>
    </row>
    <row r="34" spans="1:4" x14ac:dyDescent="0.25">
      <c r="A34" s="2" t="s">
        <v>379</v>
      </c>
      <c r="B34" s="2" t="s">
        <v>380</v>
      </c>
    </row>
    <row r="38" spans="1:4" x14ac:dyDescent="0.25">
      <c r="A38" t="s">
        <v>378</v>
      </c>
      <c r="B38" t="s">
        <v>6</v>
      </c>
    </row>
    <row r="39" spans="1:4" x14ac:dyDescent="0.25">
      <c r="A39" s="2" t="s">
        <v>413</v>
      </c>
      <c r="B39" s="2" t="s">
        <v>414</v>
      </c>
      <c r="D39" t="str" cm="1">
        <f t="array" ref="D39">genPuntos(A39)</f>
        <v>[
[-figXc,-0.5*d],[-figXc+bf,-0.5*d],[-figXc+bf-0.2*tf,-0.5*d+0.6*tf],[-figXc+bf-0.4*tf,-0.5*d+0.8*tf],[-figXc+bf-0.6*tf,-0.5*d+0.917*tf],[-figXc+tw+0.6*tf,-0.5*d+(1.583)*tf],[-figXc+tw+0.4*tf,-0.5*d+(1.7)*tf],[-figXc+tw+0.2*tf,-0.5*d+(1.9)*tf],[-figXc+tw,-0.5*d+2.5*tf],[-figXc+tw,0.5*d-2.5*tf],[-figXc+tw+0.2*tf,0.5*d-(1.9)*tf],[-figXc+tw+0.4*tf,0.5*d-(1.7)*tf],[-figXc+tw+0.6*tf,0.5*d-(1.583)*tf],[-figXc+bf-0.6*tf,0.5*d-0.917*tf],[-figXc+bf-0.4*tf,0.5*d-0.8*tf],[-figXc+bf-0.2*tf,0.5*d-0.6*tf],[-figXc+bf,0.5*d],[-figXc,0.5*d],[-figXc,-0.5*d]
];</v>
      </c>
    </row>
    <row r="40" spans="1:4" x14ac:dyDescent="0.25">
      <c r="A40" s="2" t="s">
        <v>415</v>
      </c>
      <c r="B40" s="2" t="s">
        <v>414</v>
      </c>
    </row>
    <row r="41" spans="1:4" x14ac:dyDescent="0.25">
      <c r="A41" s="2" t="s">
        <v>416</v>
      </c>
      <c r="B41" s="2" t="s">
        <v>383</v>
      </c>
    </row>
    <row r="42" spans="1:4" x14ac:dyDescent="0.25">
      <c r="A42" s="2" t="s">
        <v>417</v>
      </c>
      <c r="B42" s="2" t="s">
        <v>385</v>
      </c>
    </row>
    <row r="43" spans="1:4" x14ac:dyDescent="0.25">
      <c r="A43" s="2" t="s">
        <v>418</v>
      </c>
      <c r="B43" s="2" t="s">
        <v>387</v>
      </c>
    </row>
    <row r="44" spans="1:4" x14ac:dyDescent="0.25">
      <c r="A44" s="2" t="s">
        <v>419</v>
      </c>
      <c r="B44" s="2" t="s">
        <v>389</v>
      </c>
    </row>
    <row r="45" spans="1:4" x14ac:dyDescent="0.25">
      <c r="A45" s="2" t="s">
        <v>420</v>
      </c>
      <c r="B45" s="2" t="s">
        <v>391</v>
      </c>
    </row>
    <row r="46" spans="1:4" x14ac:dyDescent="0.25">
      <c r="A46" s="2" t="s">
        <v>421</v>
      </c>
      <c r="B46" s="2" t="s">
        <v>393</v>
      </c>
    </row>
    <row r="47" spans="1:4" x14ac:dyDescent="0.25">
      <c r="A47" s="2" t="s">
        <v>422</v>
      </c>
      <c r="B47" s="2" t="s">
        <v>395</v>
      </c>
    </row>
    <row r="48" spans="1:4" x14ac:dyDescent="0.25">
      <c r="A48" s="2" t="s">
        <v>422</v>
      </c>
      <c r="B48" s="2" t="s">
        <v>396</v>
      </c>
    </row>
    <row r="49" spans="1:2" x14ac:dyDescent="0.25">
      <c r="A49" s="2" t="s">
        <v>421</v>
      </c>
      <c r="B49" s="2" t="s">
        <v>397</v>
      </c>
    </row>
    <row r="50" spans="1:2" x14ac:dyDescent="0.25">
      <c r="A50" s="2" t="s">
        <v>420</v>
      </c>
      <c r="B50" s="2" t="s">
        <v>398</v>
      </c>
    </row>
    <row r="51" spans="1:2" x14ac:dyDescent="0.25">
      <c r="A51" s="2" t="s">
        <v>419</v>
      </c>
      <c r="B51" s="2" t="s">
        <v>399</v>
      </c>
    </row>
    <row r="52" spans="1:2" x14ac:dyDescent="0.25">
      <c r="A52" s="2" t="s">
        <v>418</v>
      </c>
      <c r="B52" s="2" t="s">
        <v>400</v>
      </c>
    </row>
    <row r="53" spans="1:2" x14ac:dyDescent="0.25">
      <c r="A53" s="2" t="s">
        <v>417</v>
      </c>
      <c r="B53" s="2" t="s">
        <v>401</v>
      </c>
    </row>
    <row r="54" spans="1:2" x14ac:dyDescent="0.25">
      <c r="A54" s="2" t="s">
        <v>416</v>
      </c>
      <c r="B54" s="2" t="s">
        <v>402</v>
      </c>
    </row>
    <row r="55" spans="1:2" x14ac:dyDescent="0.25">
      <c r="A55" s="2" t="s">
        <v>415</v>
      </c>
      <c r="B55" s="2" t="s">
        <v>423</v>
      </c>
    </row>
    <row r="56" spans="1:2" x14ac:dyDescent="0.25">
      <c r="A56" s="2" t="s">
        <v>413</v>
      </c>
      <c r="B56" s="2" t="s">
        <v>423</v>
      </c>
    </row>
    <row r="57" spans="1:2" x14ac:dyDescent="0.25">
      <c r="A57" s="2" t="s">
        <v>413</v>
      </c>
      <c r="B57" s="2" t="s">
        <v>414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W</vt:lpstr>
      <vt:lpstr>S</vt:lpstr>
      <vt:lpstr>C</vt:lpstr>
      <vt:lpstr>L igual</vt:lpstr>
      <vt:lpstr>L desigual</vt:lpstr>
      <vt:lpstr>gráficas</vt:lpstr>
      <vt:lpstr>datosGráfica</vt:lpstr>
      <vt:lpstr>bf</vt:lpstr>
      <vt:lpstr>d</vt:lpstr>
      <vt:lpstr>figXc</vt:lpstr>
      <vt:lpstr>figYc</vt:lpstr>
      <vt:lpstr>tf</vt:lpstr>
      <vt:lpstr>tw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Córdoba</dc:creator>
  <cp:lastModifiedBy>Edwin Córdoba</cp:lastModifiedBy>
  <dcterms:created xsi:type="dcterms:W3CDTF">2020-04-06T16:27:40Z</dcterms:created>
  <dcterms:modified xsi:type="dcterms:W3CDTF">2020-06-30T19:09:17Z</dcterms:modified>
</cp:coreProperties>
</file>